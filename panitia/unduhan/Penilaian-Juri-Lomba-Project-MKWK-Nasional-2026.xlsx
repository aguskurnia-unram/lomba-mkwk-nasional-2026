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Input Nilai (Pra-Event)" sheetId="3" state="visible" r:id="rId3"/>
    <sheet name="Input Nilai (Presentasi)" sheetId="4" state="visible" r:id="rId4"/>
    <sheet name="Rekap Pra-Event" sheetId="5" state="visible" r:id="rId5"/>
    <sheet name="Rekap Final" sheetId="6" state="visible" r:id="rId6"/>
  </sheets>
  <definedNames/>
  <calcPr calcId="124519" fullCalcOnLoad="1"/>
</workbook>
</file>

<file path=xl/styles.xml><?xml version="1.0" encoding="utf-8"?>
<styleSheet xmlns="http://schemas.openxmlformats.org/spreadsheetml/2006/main">
  <numFmts count="1">
    <numFmt numFmtId="164" formatCode="0.0;;&quot;–&quot;"/>
  </numFmts>
  <fonts count="10">
    <font>
      <name val="Calibri"/>
      <family val="2"/>
      <color theme="1"/>
      <sz val="11"/>
      <scheme val="minor"/>
    </font>
    <font>
      <name val="Arial"/>
      <b val="1"/>
      <color rgb="00173E60"/>
      <sz val="16"/>
    </font>
    <font>
      <name val="Arial"/>
      <b val="1"/>
      <color rgb="001C1F24"/>
      <sz val="11"/>
    </font>
    <font>
      <name val="Arial"/>
      <color rgb="001C1F24"/>
      <sz val="10"/>
    </font>
    <font>
      <name val="Arial"/>
      <b val="1"/>
      <color rgb="001C1F24"/>
      <sz val="10"/>
    </font>
    <font>
      <name val="Arial"/>
      <i val="1"/>
      <color rgb="005B5A52"/>
      <sz val="9.5"/>
    </font>
    <font>
      <name val="Arial"/>
      <b val="1"/>
      <color rgb="00FFFFFF"/>
      <sz val="10"/>
    </font>
    <font>
      <name val="Arial"/>
      <b val="1"/>
      <color rgb="00173E60"/>
      <sz val="12"/>
    </font>
    <font>
      <name val="Arial"/>
      <b val="1"/>
      <color rgb="001C1F24"/>
      <sz val="9"/>
    </font>
    <font>
      <name val="Arial"/>
      <color rgb="009A9584"/>
      <sz val="10"/>
    </font>
  </fonts>
  <fills count="10">
    <fill>
      <patternFill/>
    </fill>
    <fill>
      <patternFill patternType="gray125"/>
    </fill>
    <fill>
      <patternFill patternType="solid">
        <fgColor rgb="00173E60"/>
      </patternFill>
    </fill>
    <fill>
      <patternFill patternType="solid">
        <fgColor rgb="00E2EAF1"/>
      </patternFill>
    </fill>
    <fill>
      <patternFill patternType="solid">
        <fgColor rgb="000F2C46"/>
      </patternFill>
    </fill>
    <fill>
      <patternFill patternType="solid">
        <fgColor rgb="00A97A1F"/>
      </patternFill>
    </fill>
    <fill>
      <patternFill patternType="solid">
        <fgColor rgb="00FFF6D9"/>
      </patternFill>
    </fill>
    <fill>
      <patternFill patternType="solid">
        <fgColor rgb="00EDEDED"/>
      </patternFill>
    </fill>
    <fill>
      <patternFill patternType="solid">
        <fgColor rgb="00F2E4BF"/>
      </patternFill>
    </fill>
    <fill>
      <patternFill patternType="solid">
        <fgColor rgb="00FFFFFF"/>
      </patternFill>
    </fill>
  </fills>
  <borders count="2">
    <border>
      <left/>
      <right/>
      <top/>
      <bottom/>
      <diagonal/>
    </border>
    <border>
      <left style="thin">
        <color rgb="00D9D2BE"/>
      </left>
      <right style="thin">
        <color rgb="00D9D2BE"/>
      </right>
      <top style="thin">
        <color rgb="00D9D2BE"/>
      </top>
      <bottom style="thin">
        <color rgb="00D9D2BE"/>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0" borderId="0" pivotButton="0" quotePrefix="0" xfId="0"/>
    <xf numFmtId="0" fontId="3" fillId="0" borderId="0" pivotButton="0" quotePrefix="0" xfId="0"/>
    <xf numFmtId="0" fontId="5" fillId="0" borderId="0" pivotButton="0" quotePrefix="0" xfId="0"/>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7" fillId="0" borderId="0" pivotButton="0" quotePrefix="0" xfId="0"/>
    <xf numFmtId="0" fontId="0" fillId="0" borderId="1" pivotButton="0" quotePrefix="0" xfId="0"/>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0" fillId="2" borderId="1" pivotButton="0" quotePrefix="0" xfId="0"/>
    <xf numFmtId="0" fontId="8" fillId="3" borderId="1" applyAlignment="1" pivotButton="0" quotePrefix="0" xfId="0">
      <alignment horizontal="center" vertical="center" wrapText="1"/>
    </xf>
    <xf numFmtId="0" fontId="0" fillId="5" borderId="1" pivotButton="0" quotePrefix="0" xfId="0"/>
    <xf numFmtId="0" fontId="4"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6" borderId="1" applyAlignment="1" pivotButton="0" quotePrefix="0" xfId="0">
      <alignment horizontal="center" vertical="center" wrapText="1"/>
    </xf>
    <xf numFmtId="0" fontId="9" fillId="7" borderId="1" applyAlignment="1" pivotButton="0" quotePrefix="0" xfId="0">
      <alignment horizontal="center" vertical="center" wrapText="1"/>
    </xf>
    <xf numFmtId="164" fontId="3" fillId="8" borderId="1" applyAlignment="1" pivotButton="0" quotePrefix="0" xfId="0">
      <alignment horizontal="center" vertical="center" wrapText="1"/>
    </xf>
    <xf numFmtId="164" fontId="4" fillId="8" borderId="1" applyAlignment="1" pivotButton="0" quotePrefix="0" xfId="0">
      <alignment horizontal="center" vertical="center" wrapText="1"/>
    </xf>
    <xf numFmtId="0" fontId="3" fillId="9" borderId="1" applyAlignment="1" pivotButton="0" quotePrefix="0" xfId="0">
      <alignment horizontal="center" vertical="center" wrapText="1"/>
    </xf>
    <xf numFmtId="164" fontId="3" fillId="0" borderId="1" applyAlignment="1" pivotButton="0" quotePrefix="0" xfId="0">
      <alignment horizontal="center" vertical="center" wrapText="1"/>
    </xf>
    <xf numFmtId="164"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5"/>
  <sheetViews>
    <sheetView showGridLines="0" workbookViewId="0">
      <selection activeCell="A1" sqref="A1"/>
    </sheetView>
  </sheetViews>
  <sheetFormatPr baseColWidth="8" defaultRowHeight="15"/>
  <cols>
    <col width="3" customWidth="1" min="1" max="1"/>
    <col width="100" customWidth="1" min="2" max="2"/>
  </cols>
  <sheetData>
    <row r="2">
      <c r="B2" s="1" t="inlineStr">
        <is>
          <t>Panduan Penilaian Juri</t>
        </is>
      </c>
    </row>
    <row r="3">
      <c r="B3" s="2" t="inlineStr">
        <is>
          <t>Lomba Project MKWK Nasional 2026 — Tahap Pra-Event (19 Agt) &amp; Presentasi Finalis (22 Agt)</t>
        </is>
      </c>
    </row>
    <row r="5" ht="30" customHeight="1">
      <c r="B5" s="3" t="inlineStr">
        <is>
          <t>•  Ada DUA sheet input: “Input Nilai (Pra-Event)” untuk menilai Video/Poster yang sudah dikumpulkan (19 Agustus), dan “Input Nilai (Presentasi)” khusus untuk 10 finalis pada hari lomba (22 Agustus). Isi sesuai tahap yang sedang berjalan.</t>
        </is>
      </c>
    </row>
    <row r="6" ht="30" customHeight="1">
      <c r="B6" s="3" t="inlineStr">
        <is>
          <t>•  Setiap juri mengisi BLOK KOLOMNYA SENDIRI (nama juri tertera di header kolom). Jangan mengisi kolom juri lain.</t>
        </is>
      </c>
    </row>
    <row r="7" ht="30" customHeight="1">
      <c r="B7" s="3" t="inlineStr">
        <is>
          <t>•  Isi HANYA sel berwarna kuning pucat. Sel abu-abu (–) berarti tidak berlaku untuk kategori tim tersebut — biarkan kosong.</t>
        </is>
      </c>
    </row>
    <row r="8" ht="30" customHeight="1">
      <c r="B8" s="3" t="inlineStr">
        <is>
          <t>•  Skor tiap kriteria diisi 0–100, mengacu pada rubrik Bab VII Juknis (pita nilai: 86–100 sangat baik · 71–85 baik · 56–70 cukup · &lt;55 kurang). Deskriptor lengkap ada di sheet “Rubrik”.</t>
        </is>
      </c>
    </row>
    <row r="9" ht="30" customHeight="1">
      <c r="B9" s="3" t="inlineStr">
        <is>
          <t>•  Kolom skor &amp; peringkat berwarna emas terisi OTOMATIS (rumus) dari rata-rata semua juri yang sudah mengisi — jangan diedit manual.</t>
        </is>
      </c>
    </row>
    <row r="10" ht="30" customHeight="1">
      <c r="B10" s="3" t="inlineStr">
        <is>
          <t>•  Bobot resmi total (Bab VII Juknis): Video 30% + Poster 20% (Pra-Event) + Presentasi 50% (Hari-H) = 100%. Sheet “Rekap Final” menggabungkan ketiganya menjadi Total Akhir setelah presentasi selesai.</t>
        </is>
      </c>
    </row>
    <row r="11" ht="30" customHeight="1">
      <c r="B11" s="3" t="inlineStr">
        <is>
          <t>•  Sheet “Input Nilai (Presentasi)” hanya perlu diisi untuk tim yang benar-benar lolos sebagai 10 finalis — baris tim lain boleh dibiarkan kosong.</t>
        </is>
      </c>
    </row>
    <row r="12" ht="30" customHeight="1">
      <c r="B12" s="3" t="inlineStr">
        <is>
          <t>•  Dokumen kerja internal panitia &amp; dewan juri — mohon tidak disebarluaskan.</t>
        </is>
      </c>
    </row>
    <row r="14">
      <c r="B14" s="4" t="inlineStr">
        <is>
          <t>Dewan Juri</t>
        </is>
      </c>
    </row>
    <row r="15" ht="18" customHeight="1">
      <c r="B15" s="5" t="inlineStr">
        <is>
          <t>• Dr. Epin Saepudin, M.Pd. — ITB</t>
        </is>
      </c>
    </row>
    <row r="16" ht="18" customHeight="1">
      <c r="B16" s="5" t="inlineStr">
        <is>
          <t>• Dr. Heri Santoso, S.S., M.Hum. — UGM  (*Data jabatan/pangkat belum terkonfirmasi penuh)</t>
        </is>
      </c>
    </row>
    <row r="17" ht="18" customHeight="1">
      <c r="B17" s="5" t="inlineStr">
        <is>
          <t>• Ir. H. Riadi Budiman, S.T., M.T., M.Pd., IPM., ASEAN Eng. — Untan</t>
        </is>
      </c>
    </row>
    <row r="18" ht="18" customHeight="1">
      <c r="B18" s="5" t="inlineStr">
        <is>
          <t>• Aurelius Rofinus Lolong Teluma, S.S., M.A. — Unram  (*Data jabatan/pangkat belum terkonfirmasi penuh)</t>
        </is>
      </c>
    </row>
    <row r="19" ht="18" customHeight="1">
      <c r="B19" s="5" t="inlineStr">
        <is>
          <t>• Ida Ayu Sutarini, S.Sn., M.Ds. — Unram  (*Jabatan fungsional perlu diverifikasi panitia)</t>
        </is>
      </c>
    </row>
    <row r="20" ht="28" customHeight="1">
      <c r="B20" s="6" t="inlineStr">
        <is>
          <t>* Data jabatan/pangkat sebagian juri belum terkonfirmasi penuh dari sumber institusional terkini (lihat sheet asal “Juri Lomba”) — tidak memengaruhi validitas penilaian, hanya catatan administratif kepanitiaan.</t>
        </is>
      </c>
    </row>
    <row r="22">
      <c r="B22" s="4" t="inlineStr">
        <is>
          <t>Contoh pengisian</t>
        </is>
      </c>
    </row>
    <row r="23" ht="56" customHeight="1">
      <c r="B23" s="7" t="inlineStr">
        <is>
          <t>Tim “Contoh Team” ikut kategori Video. Pada sheet Pra-Event, Dr. Epin S. menonton videonya lalu mengisi A1=82, A2=75, A3=88 di blok kolomnya sendiri. Kolom B1/B2 dibiarkan kosong/abu-abu karena tim ini tidak ikut Poster. Jika tim ini lolos jadi finalis, pada hari-H tiap juri mengisi C1–C4 di sheet Presentasi untuk baris tim yang sama.</t>
        </is>
      </c>
    </row>
    <row r="25">
      <c r="B25" s="6" t="inlineStr">
        <is>
          <t>Kontak: Agus Kurnia, S.S., M.Ag. · WA 0899-6085-314 · mku@unram.ac.id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22"/>
  <sheetViews>
    <sheetView showGridLines="0" workbookViewId="0">
      <selection activeCell="A1" sqref="A1"/>
    </sheetView>
  </sheetViews>
  <sheetFormatPr baseColWidth="8" defaultRowHeight="15"/>
  <cols>
    <col width="4" customWidth="1" min="1" max="1"/>
    <col width="22" customWidth="1" min="2" max="2"/>
    <col width="10" customWidth="1" min="3" max="3"/>
    <col width="46" customWidth="1" min="4" max="4"/>
    <col width="46" customWidth="1" min="5" max="5"/>
  </cols>
  <sheetData>
    <row r="2">
      <c r="B2" s="1" t="inlineStr">
        <is>
          <t>Rubrik Penilaian</t>
        </is>
      </c>
    </row>
    <row r="3">
      <c r="B3" s="6" t="inlineStr">
        <is>
          <t>Sumber: Juknis Lomba Project MKWK Nasional 2026, Bab VII</t>
        </is>
      </c>
    </row>
    <row r="5">
      <c r="B5" s="8" t="inlineStr">
        <is>
          <t>Kode</t>
        </is>
      </c>
      <c r="C5" s="8" t="inlineStr">
        <is>
          <t>Aspek</t>
        </is>
      </c>
      <c r="D5" s="8" t="inlineStr">
        <is>
          <t>Bobot</t>
        </is>
      </c>
      <c r="E5" s="8" t="inlineStr">
        <is>
          <t>Tahap</t>
        </is>
      </c>
      <c r="F5" s="8" t="inlineStr">
        <is>
          <t>Deskriptor skor tertinggi (86–100)</t>
        </is>
      </c>
    </row>
    <row r="6" ht="34" customHeight="1">
      <c r="B6" s="9" t="inlineStr">
        <is>
          <t>A1</t>
        </is>
      </c>
      <c r="C6" s="10" t="inlineStr">
        <is>
          <t>Kualitas Konten &amp; Pesan</t>
        </is>
      </c>
      <c r="D6" s="10" t="inlineStr">
        <is>
          <t>15%</t>
        </is>
      </c>
      <c r="E6" s="10" t="inlineStr">
        <is>
          <t>Pra-Event · Video</t>
        </is>
      </c>
      <c r="F6" s="11" t="inlineStr">
        <is>
          <t>Isu sangat relevan, data akurat, pesan jelas, berdampak luas, storytelling kuat</t>
        </is>
      </c>
    </row>
    <row r="7" ht="34" customHeight="1">
      <c r="B7" s="9" t="inlineStr">
        <is>
          <t>A2</t>
        </is>
      </c>
      <c r="C7" s="10" t="inlineStr">
        <is>
          <t>Kualitas Produksi</t>
        </is>
      </c>
      <c r="D7" s="10" t="inlineStr">
        <is>
          <t>10%</t>
        </is>
      </c>
      <c r="E7" s="10" t="inlineStr">
        <is>
          <t>Pra-Event · Video</t>
        </is>
      </c>
      <c r="F7" s="11" t="inlineStr">
        <is>
          <t>Resolusi HD, suara jernih, editing rapi, transisi halus, narasi mengalir</t>
        </is>
      </c>
    </row>
    <row r="8" ht="34" customHeight="1">
      <c r="B8" s="9" t="inlineStr">
        <is>
          <t>A3</t>
        </is>
      </c>
      <c r="C8" s="10" t="inlineStr">
        <is>
          <t>Integrasi Nilai MKWK</t>
        </is>
      </c>
      <c r="D8" s="10" t="inlineStr">
        <is>
          <t>5%</t>
        </is>
      </c>
      <c r="E8" s="10" t="inlineStr">
        <is>
          <t>Pra-Event · Video</t>
        </is>
      </c>
      <c r="F8" s="11" t="inlineStr">
        <is>
          <t>Nilai MKWK terintegrasi eksplisit &amp; terdokumentasi kuat dalam video; lebih dari satu nilai jadi nilai tambah, bukan syarat</t>
        </is>
      </c>
    </row>
    <row r="9" ht="34" customHeight="1">
      <c r="B9" s="9" t="inlineStr">
        <is>
          <t>B1</t>
        </is>
      </c>
      <c r="C9" s="10" t="inlineStr">
        <is>
          <t>Kualitas Isi Ilmiah</t>
        </is>
      </c>
      <c r="D9" s="10" t="inlineStr">
        <is>
          <t>10%</t>
        </is>
      </c>
      <c r="E9" s="10" t="inlineStr">
        <is>
          <t>Pra-Event · Poster</t>
        </is>
      </c>
      <c r="F9" s="11" t="inlineStr">
        <is>
          <t>Masalah teridentifikasi jelas, metode tepat, dampak terukur dan berbasis data</t>
        </is>
      </c>
    </row>
    <row r="10" ht="34" customHeight="1">
      <c r="B10" s="9" t="inlineStr">
        <is>
          <t>B2</t>
        </is>
      </c>
      <c r="C10" s="10" t="inlineStr">
        <is>
          <t>Estetika &amp; Keterbacaan</t>
        </is>
      </c>
      <c r="D10" s="10" t="inlineStr">
        <is>
          <t>10%</t>
        </is>
      </c>
      <c r="E10" s="10" t="inlineStr">
        <is>
          <t>Pra-Event · Poster</t>
        </is>
      </c>
      <c r="F10" s="11" t="inlineStr">
        <is>
          <t>Desain menarik, hierarki tipografi jelas, terbaca jelas di layar (termasuk saat diperkecil 50%)</t>
        </is>
      </c>
    </row>
    <row r="11" ht="34" customHeight="1">
      <c r="B11" s="9" t="inlineStr">
        <is>
          <t>C1</t>
        </is>
      </c>
      <c r="C11" s="10" t="inlineStr">
        <is>
          <t>Substansi &amp; Dampak</t>
        </is>
      </c>
      <c r="D11" s="10" t="inlineStr">
        <is>
          <t>20%</t>
        </is>
      </c>
      <c r="E11" s="10" t="inlineStr">
        <is>
          <t>Presentasi (22 Agt)</t>
        </is>
      </c>
      <c r="F11" s="11" t="inlineStr">
        <is>
          <t>Dampak signifikan, terukur, melibatkan komunitas nyata, didukung bukti kuat</t>
        </is>
      </c>
    </row>
    <row r="12" ht="34" customHeight="1">
      <c r="B12" s="9" t="inlineStr">
        <is>
          <t>C2</t>
        </is>
      </c>
      <c r="C12" s="10" t="inlineStr">
        <is>
          <t>Integrasi Nilai MKWK</t>
        </is>
      </c>
      <c r="D12" s="10" t="inlineStr">
        <is>
          <t>15%</t>
        </is>
      </c>
      <c r="E12" s="10" t="inlineStr">
        <is>
          <t>Presentasi (22 Agt)</t>
        </is>
      </c>
      <c r="F12" s="11" t="inlineStr">
        <is>
          <t>Nilai MKWK sangat eksplisit dan kritis dibahas dalam presentasi; integrasi lebih dari satu mata kuliah jadi nilai tambah, bukan syarat</t>
        </is>
      </c>
    </row>
    <row r="13" ht="34" customHeight="1">
      <c r="B13" s="9" t="inlineStr">
        <is>
          <t>C3</t>
        </is>
      </c>
      <c r="C13" s="10" t="inlineStr">
        <is>
          <t>Inovasi &amp; Orisinalitas</t>
        </is>
      </c>
      <c r="D13" s="10" t="inlineStr">
        <is>
          <t>10%</t>
        </is>
      </c>
      <c r="E13" s="10" t="inlineStr">
        <is>
          <t>Presentasi (22 Agt)</t>
        </is>
      </c>
      <c r="F13" s="11" t="inlineStr">
        <is>
          <t>Pendekatan baru, solusi kreatif, bukan pengulangan project serupa yang sudah ada</t>
        </is>
      </c>
    </row>
    <row r="14" ht="34" customHeight="1">
      <c r="B14" s="9" t="inlineStr">
        <is>
          <t>C4</t>
        </is>
      </c>
      <c r="C14" s="10" t="inlineStr">
        <is>
          <t>Penguasaan &amp; Q&amp;A</t>
        </is>
      </c>
      <c r="D14" s="10" t="inlineStr">
        <is>
          <t>5%</t>
        </is>
      </c>
      <c r="E14" s="10" t="inlineStr">
        <is>
          <t>Presentasi (22 Agt)</t>
        </is>
      </c>
      <c r="F14" s="11" t="inlineStr">
        <is>
          <t>Seluruh anggota tim menguasai materi, menjawab kritis, percaya diri, komunikatif</t>
        </is>
      </c>
    </row>
    <row r="16">
      <c r="B16" s="4" t="inlineStr">
        <is>
          <t>Pita nilai untuk semua aspek di atas:</t>
        </is>
      </c>
    </row>
    <row r="17">
      <c r="B17" s="5" t="inlineStr">
        <is>
          <t>• 86–100  Sangat baik</t>
        </is>
      </c>
    </row>
    <row r="18">
      <c r="B18" s="5" t="inlineStr">
        <is>
          <t>• 71–85  Baik</t>
        </is>
      </c>
    </row>
    <row r="19">
      <c r="B19" s="5" t="inlineStr">
        <is>
          <t>• 56–70  Cukup</t>
        </is>
      </c>
    </row>
    <row r="20">
      <c r="B20" s="5" t="inlineStr">
        <is>
          <t>• &lt; 55  Kurang</t>
        </is>
      </c>
    </row>
    <row r="22">
      <c r="B22" s="6" t="inlineStr">
        <is>
          <t>Total bobot: Video 30% + Poster 20% (Pra-Event, maks. keduanya jika tim ikut 2 kategori) + Presentasi 50% (Hari-H) = 100%.</t>
        </is>
      </c>
    </row>
  </sheetData>
  <mergeCells count="1">
    <mergeCell ref="B22:F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7"/>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26" customWidth="1" min="3" max="3"/>
    <col width="12" customWidth="1" min="4" max="4"/>
    <col width="8.199999999999999" customWidth="1" min="5" max="5"/>
    <col width="8.199999999999999" customWidth="1" min="6" max="6"/>
    <col width="8.199999999999999" customWidth="1" min="7" max="7"/>
    <col width="8.199999999999999" customWidth="1" min="8" max="8"/>
    <col width="8.199999999999999" customWidth="1" min="9" max="9"/>
    <col width="8.199999999999999" customWidth="1" min="10" max="10"/>
    <col width="8.199999999999999" customWidth="1" min="11" max="11"/>
    <col width="8.199999999999999" customWidth="1" min="12" max="12"/>
    <col width="8.199999999999999" customWidth="1" min="13" max="13"/>
    <col width="8.199999999999999" customWidth="1" min="14" max="14"/>
    <col width="8.199999999999999" customWidth="1" min="15" max="15"/>
    <col width="8.199999999999999" customWidth="1" min="16" max="16"/>
    <col width="8.199999999999999" customWidth="1" min="17" max="17"/>
    <col width="8.199999999999999" customWidth="1" min="18" max="18"/>
    <col width="8.199999999999999" customWidth="1" min="19" max="19"/>
    <col width="8.199999999999999" customWidth="1" min="20" max="20"/>
    <col width="8.199999999999999" customWidth="1" min="21" max="21"/>
    <col width="8.199999999999999" customWidth="1" min="22" max="22"/>
    <col width="8.199999999999999" customWidth="1" min="23" max="23"/>
    <col width="8.199999999999999" customWidth="1" min="24" max="24"/>
    <col width="8.199999999999999" customWidth="1" min="25" max="25"/>
    <col width="8.199999999999999" customWidth="1" min="26" max="26"/>
    <col width="8.199999999999999" customWidth="1" min="27" max="27"/>
    <col width="8.199999999999999" customWidth="1" min="28" max="28"/>
    <col width="8.199999999999999" customWidth="1" min="29" max="29"/>
    <col width="12" customWidth="1" min="30" max="30"/>
    <col width="12" customWidth="1" min="31" max="31"/>
    <col width="12" customWidth="1" min="32" max="32"/>
    <col width="12" customWidth="1" min="33" max="33"/>
  </cols>
  <sheetData>
    <row r="1">
      <c r="A1" s="12" t="inlineStr">
        <is>
          <t>PENILAIAN JURI — TAHAP PRA-EVENT (VIDEO 30% + POSTER 20%) — LOMBA PROJECT MKWK NASIONAL 2026</t>
        </is>
      </c>
    </row>
    <row r="2" ht="22" customHeight="1">
      <c r="A2" s="8" t="inlineStr">
        <is>
          <t>No</t>
        </is>
      </c>
      <c r="B2" s="8" t="inlineStr">
        <is>
          <t>Nama Tim</t>
        </is>
      </c>
      <c r="C2" s="8" t="inlineStr">
        <is>
          <t>Perguruan Tinggi</t>
        </is>
      </c>
      <c r="D2" s="8" t="inlineStr">
        <is>
          <t>Kategori</t>
        </is>
      </c>
      <c r="E2" s="8" t="inlineStr">
        <is>
          <t>Dr. Epin S. (ITB)</t>
        </is>
      </c>
      <c r="F2" s="13" t="n"/>
      <c r="G2" s="13" t="n"/>
      <c r="H2" s="13" t="n"/>
      <c r="I2" s="13" t="n"/>
      <c r="J2" s="14" t="inlineStr">
        <is>
          <t>Dr. Heri S. (UGM)</t>
        </is>
      </c>
      <c r="K2" s="13" t="n"/>
      <c r="L2" s="13" t="n"/>
      <c r="M2" s="13" t="n"/>
      <c r="N2" s="13" t="n"/>
      <c r="O2" s="8" t="inlineStr">
        <is>
          <t>Ir. Riadi B. (Untan)</t>
        </is>
      </c>
      <c r="P2" s="13" t="n"/>
      <c r="Q2" s="13" t="n"/>
      <c r="R2" s="13" t="n"/>
      <c r="S2" s="13" t="n"/>
      <c r="T2" s="14" t="inlineStr">
        <is>
          <t>Aurelius T. (Unram)</t>
        </is>
      </c>
      <c r="U2" s="13" t="n"/>
      <c r="V2" s="13" t="n"/>
      <c r="W2" s="13" t="n"/>
      <c r="X2" s="13" t="n"/>
      <c r="Y2" s="8" t="inlineStr">
        <is>
          <t>Ida Ayu S. (Unram)</t>
        </is>
      </c>
      <c r="Z2" s="13" t="n"/>
      <c r="AA2" s="13" t="n"/>
      <c r="AB2" s="13" t="n"/>
      <c r="AC2" s="13" t="n"/>
      <c r="AD2" s="15" t="inlineStr">
        <is>
          <t>Skor Video
(0–100)</t>
        </is>
      </c>
      <c r="AE2" s="15" t="inlineStr">
        <is>
          <t>Skor Poster
(0–100)</t>
        </is>
      </c>
      <c r="AF2" s="15" t="inlineStr">
        <is>
          <t>Skor Akhir
Pra-Event</t>
        </is>
      </c>
      <c r="AG2" s="15" t="inlineStr">
        <is>
          <t>Peringkat</t>
        </is>
      </c>
    </row>
    <row r="3" ht="30" customHeight="1">
      <c r="A3" s="16" t="n"/>
      <c r="B3" s="16" t="n"/>
      <c r="C3" s="16" t="n"/>
      <c r="D3" s="16" t="n"/>
      <c r="E3" s="17" t="inlineStr">
        <is>
          <t>A1
Kualitas Konten
&amp; Pesan</t>
        </is>
      </c>
      <c r="F3" s="17" t="inlineStr">
        <is>
          <t>A2
Kualitas
Produksi</t>
        </is>
      </c>
      <c r="G3" s="17" t="inlineStr">
        <is>
          <t>A3
Integrasi
Nilai MKWK</t>
        </is>
      </c>
      <c r="H3" s="17" t="inlineStr">
        <is>
          <t>B1
Kualitas Isi
Ilmiah</t>
        </is>
      </c>
      <c r="I3" s="17" t="inlineStr">
        <is>
          <t>B2
Estetika &amp;
Keterbacaan</t>
        </is>
      </c>
      <c r="J3" s="17" t="inlineStr">
        <is>
          <t>A1
Kualitas Konten
&amp; Pesan</t>
        </is>
      </c>
      <c r="K3" s="17" t="inlineStr">
        <is>
          <t>A2
Kualitas
Produksi</t>
        </is>
      </c>
      <c r="L3" s="17" t="inlineStr">
        <is>
          <t>A3
Integrasi
Nilai MKWK</t>
        </is>
      </c>
      <c r="M3" s="17" t="inlineStr">
        <is>
          <t>B1
Kualitas Isi
Ilmiah</t>
        </is>
      </c>
      <c r="N3" s="17" t="inlineStr">
        <is>
          <t>B2
Estetika &amp;
Keterbacaan</t>
        </is>
      </c>
      <c r="O3" s="17" t="inlineStr">
        <is>
          <t>A1
Kualitas Konten
&amp; Pesan</t>
        </is>
      </c>
      <c r="P3" s="17" t="inlineStr">
        <is>
          <t>A2
Kualitas
Produksi</t>
        </is>
      </c>
      <c r="Q3" s="17" t="inlineStr">
        <is>
          <t>A3
Integrasi
Nilai MKWK</t>
        </is>
      </c>
      <c r="R3" s="17" t="inlineStr">
        <is>
          <t>B1
Kualitas Isi
Ilmiah</t>
        </is>
      </c>
      <c r="S3" s="17" t="inlineStr">
        <is>
          <t>B2
Estetika &amp;
Keterbacaan</t>
        </is>
      </c>
      <c r="T3" s="17" t="inlineStr">
        <is>
          <t>A1
Kualitas Konten
&amp; Pesan</t>
        </is>
      </c>
      <c r="U3" s="17" t="inlineStr">
        <is>
          <t>A2
Kualitas
Produksi</t>
        </is>
      </c>
      <c r="V3" s="17" t="inlineStr">
        <is>
          <t>A3
Integrasi
Nilai MKWK</t>
        </is>
      </c>
      <c r="W3" s="17" t="inlineStr">
        <is>
          <t>B1
Kualitas Isi
Ilmiah</t>
        </is>
      </c>
      <c r="X3" s="17" t="inlineStr">
        <is>
          <t>B2
Estetika &amp;
Keterbacaan</t>
        </is>
      </c>
      <c r="Y3" s="17" t="inlineStr">
        <is>
          <t>A1
Kualitas Konten
&amp; Pesan</t>
        </is>
      </c>
      <c r="Z3" s="17" t="inlineStr">
        <is>
          <t>A2
Kualitas
Produksi</t>
        </is>
      </c>
      <c r="AA3" s="17" t="inlineStr">
        <is>
          <t>A3
Integrasi
Nilai MKWK</t>
        </is>
      </c>
      <c r="AB3" s="17" t="inlineStr">
        <is>
          <t>B1
Kualitas Isi
Ilmiah</t>
        </is>
      </c>
      <c r="AC3" s="17" t="inlineStr">
        <is>
          <t>B2
Estetika &amp;
Keterbacaan</t>
        </is>
      </c>
      <c r="AD3" s="18" t="n"/>
      <c r="AE3" s="18" t="n"/>
      <c r="AF3" s="18" t="n"/>
      <c r="AG3" s="18" t="n"/>
    </row>
    <row r="4" ht="16" customHeight="1">
      <c r="A4" s="10" t="n">
        <v>1</v>
      </c>
      <c r="B4" s="19" t="inlineStr">
        <is>
          <t>Nusa Data Team</t>
        </is>
      </c>
      <c r="C4" s="20" t="inlineStr">
        <is>
          <t>Politeknik Al Islam Bandung</t>
        </is>
      </c>
      <c r="D4" s="10" t="inlineStr">
        <is>
          <t>Video</t>
        </is>
      </c>
      <c r="E4" s="21" t="n"/>
      <c r="F4" s="21" t="n"/>
      <c r="G4" s="21" t="n"/>
      <c r="H4" s="22" t="inlineStr">
        <is>
          <t>–</t>
        </is>
      </c>
      <c r="I4" s="22" t="inlineStr">
        <is>
          <t>–</t>
        </is>
      </c>
      <c r="J4" s="21" t="n"/>
      <c r="K4" s="21" t="n"/>
      <c r="L4" s="21" t="n"/>
      <c r="M4" s="22" t="inlineStr">
        <is>
          <t>–</t>
        </is>
      </c>
      <c r="N4" s="22" t="inlineStr">
        <is>
          <t>–</t>
        </is>
      </c>
      <c r="O4" s="21" t="n"/>
      <c r="P4" s="21" t="n"/>
      <c r="Q4" s="21" t="n"/>
      <c r="R4" s="22" t="inlineStr">
        <is>
          <t>–</t>
        </is>
      </c>
      <c r="S4" s="22" t="inlineStr">
        <is>
          <t>–</t>
        </is>
      </c>
      <c r="T4" s="21" t="n"/>
      <c r="U4" s="21" t="n"/>
      <c r="V4" s="21" t="n"/>
      <c r="W4" s="22" t="inlineStr">
        <is>
          <t>–</t>
        </is>
      </c>
      <c r="X4" s="22" t="inlineStr">
        <is>
          <t>–</t>
        </is>
      </c>
      <c r="Y4" s="21" t="n"/>
      <c r="Z4" s="21" t="n"/>
      <c r="AA4" s="21" t="n"/>
      <c r="AB4" s="22" t="inlineStr">
        <is>
          <t>–</t>
        </is>
      </c>
      <c r="AC4" s="22" t="inlineStr">
        <is>
          <t>–</t>
        </is>
      </c>
      <c r="AD4" s="23">
        <f>IFERROR((AVERAGE(E4,J4,O4,T4,Y4)*15+AVERAGE(F4,K4,P4,U4,Z4)*10+AVERAGE(G4,L4,Q4,V4,AA4)*5)/30,"")</f>
        <v/>
      </c>
      <c r="AE4" s="23" t="inlineStr"/>
      <c r="AF4" s="24">
        <f>IF(AND(AD4&lt;&gt;"",AE4&lt;&gt;""),(AD4*30+AE4*20)/50,IF(AD4&lt;&gt;"",AD4,IF(AE4&lt;&gt;"",AE4,"")))</f>
        <v/>
      </c>
      <c r="AG4" s="25">
        <f>IFERROR(RANK(AF4,$AF$4:$AF$15,0),"")</f>
        <v/>
      </c>
    </row>
    <row r="5" ht="16" customHeight="1">
      <c r="A5" s="10" t="n">
        <v>2</v>
      </c>
      <c r="B5" s="19" t="inlineStr">
        <is>
          <t>GarudaAksi</t>
        </is>
      </c>
      <c r="C5" s="20" t="inlineStr">
        <is>
          <t>Universitas Muhammadiyah Riau</t>
        </is>
      </c>
      <c r="D5" s="10" t="inlineStr">
        <is>
          <t>Poster</t>
        </is>
      </c>
      <c r="E5" s="22" t="inlineStr">
        <is>
          <t>–</t>
        </is>
      </c>
      <c r="F5" s="22" t="inlineStr">
        <is>
          <t>–</t>
        </is>
      </c>
      <c r="G5" s="22" t="inlineStr">
        <is>
          <t>–</t>
        </is>
      </c>
      <c r="H5" s="21" t="n"/>
      <c r="I5" s="21" t="n"/>
      <c r="J5" s="22" t="inlineStr">
        <is>
          <t>–</t>
        </is>
      </c>
      <c r="K5" s="22" t="inlineStr">
        <is>
          <t>–</t>
        </is>
      </c>
      <c r="L5" s="22" t="inlineStr">
        <is>
          <t>–</t>
        </is>
      </c>
      <c r="M5" s="21" t="n"/>
      <c r="N5" s="21" t="n"/>
      <c r="O5" s="22" t="inlineStr">
        <is>
          <t>–</t>
        </is>
      </c>
      <c r="P5" s="22" t="inlineStr">
        <is>
          <t>–</t>
        </is>
      </c>
      <c r="Q5" s="22" t="inlineStr">
        <is>
          <t>–</t>
        </is>
      </c>
      <c r="R5" s="21" t="n"/>
      <c r="S5" s="21" t="n"/>
      <c r="T5" s="22" t="inlineStr">
        <is>
          <t>–</t>
        </is>
      </c>
      <c r="U5" s="22" t="inlineStr">
        <is>
          <t>–</t>
        </is>
      </c>
      <c r="V5" s="22" t="inlineStr">
        <is>
          <t>–</t>
        </is>
      </c>
      <c r="W5" s="21" t="n"/>
      <c r="X5" s="21" t="n"/>
      <c r="Y5" s="22" t="inlineStr">
        <is>
          <t>–</t>
        </is>
      </c>
      <c r="Z5" s="22" t="inlineStr">
        <is>
          <t>–</t>
        </is>
      </c>
      <c r="AA5" s="22" t="inlineStr">
        <is>
          <t>–</t>
        </is>
      </c>
      <c r="AB5" s="21" t="n"/>
      <c r="AC5" s="21" t="n"/>
      <c r="AD5" s="23" t="inlineStr"/>
      <c r="AE5" s="23">
        <f>IFERROR((AVERAGE(H5,M5,R5,W5,AB5)*10+AVERAGE(I5,N5,S5,X5,AC5)*10)/20,"")</f>
        <v/>
      </c>
      <c r="AF5" s="24">
        <f>IF(AND(AD5&lt;&gt;"",AE5&lt;&gt;""),(AD5*30+AE5*20)/50,IF(AD5&lt;&gt;"",AD5,IF(AE5&lt;&gt;"",AE5,"")))</f>
        <v/>
      </c>
      <c r="AG5" s="25">
        <f>IFERROR(RANK(AF5,$AF$4:$AF$15,0),"")</f>
        <v/>
      </c>
    </row>
    <row r="6" ht="16" customHeight="1">
      <c r="A6" s="10" t="n">
        <v>3</v>
      </c>
      <c r="B6" s="19" t="inlineStr">
        <is>
          <t>Nawasena</t>
        </is>
      </c>
      <c r="C6" s="20" t="inlineStr">
        <is>
          <t>Sekolah Tinggi Agama Hindu Dharma Nusantara Jakarta</t>
        </is>
      </c>
      <c r="D6" s="10" t="inlineStr">
        <is>
          <t>Video</t>
        </is>
      </c>
      <c r="E6" s="21" t="n"/>
      <c r="F6" s="21" t="n"/>
      <c r="G6" s="21" t="n"/>
      <c r="H6" s="22" t="inlineStr">
        <is>
          <t>–</t>
        </is>
      </c>
      <c r="I6" s="22" t="inlineStr">
        <is>
          <t>–</t>
        </is>
      </c>
      <c r="J6" s="21" t="n"/>
      <c r="K6" s="21" t="n"/>
      <c r="L6" s="21" t="n"/>
      <c r="M6" s="22" t="inlineStr">
        <is>
          <t>–</t>
        </is>
      </c>
      <c r="N6" s="22" t="inlineStr">
        <is>
          <t>–</t>
        </is>
      </c>
      <c r="O6" s="21" t="n"/>
      <c r="P6" s="21" t="n"/>
      <c r="Q6" s="21" t="n"/>
      <c r="R6" s="22" t="inlineStr">
        <is>
          <t>–</t>
        </is>
      </c>
      <c r="S6" s="22" t="inlineStr">
        <is>
          <t>–</t>
        </is>
      </c>
      <c r="T6" s="21" t="n"/>
      <c r="U6" s="21" t="n"/>
      <c r="V6" s="21" t="n"/>
      <c r="W6" s="22" t="inlineStr">
        <is>
          <t>–</t>
        </is>
      </c>
      <c r="X6" s="22" t="inlineStr">
        <is>
          <t>–</t>
        </is>
      </c>
      <c r="Y6" s="21" t="n"/>
      <c r="Z6" s="21" t="n"/>
      <c r="AA6" s="21" t="n"/>
      <c r="AB6" s="22" t="inlineStr">
        <is>
          <t>–</t>
        </is>
      </c>
      <c r="AC6" s="22" t="inlineStr">
        <is>
          <t>–</t>
        </is>
      </c>
      <c r="AD6" s="23">
        <f>IFERROR((AVERAGE(E6,J6,O6,T6,Y6)*15+AVERAGE(F6,K6,P6,U6,Z6)*10+AVERAGE(G6,L6,Q6,V6,AA6)*5)/30,"")</f>
        <v/>
      </c>
      <c r="AE6" s="23" t="inlineStr"/>
      <c r="AF6" s="24">
        <f>IF(AND(AD6&lt;&gt;"",AE6&lt;&gt;""),(AD6*30+AE6*20)/50,IF(AD6&lt;&gt;"",AD6,IF(AE6&lt;&gt;"",AE6,"")))</f>
        <v/>
      </c>
      <c r="AG6" s="25">
        <f>IFERROR(RANK(AF6,$AF$4:$AF$15,0),"")</f>
        <v/>
      </c>
    </row>
    <row r="7" ht="16" customHeight="1">
      <c r="A7" s="10" t="n">
        <v>4</v>
      </c>
      <c r="B7" s="19" t="inlineStr">
        <is>
          <t>Tim Karsa Nusantara UMRI</t>
        </is>
      </c>
      <c r="C7" s="20" t="inlineStr">
        <is>
          <t>Universitas Muhammadiyah Riau</t>
        </is>
      </c>
      <c r="D7" s="10" t="inlineStr">
        <is>
          <t>Video &amp; Poster</t>
        </is>
      </c>
      <c r="E7" s="21" t="n"/>
      <c r="F7" s="21" t="n"/>
      <c r="G7" s="21" t="n"/>
      <c r="H7" s="21" t="n"/>
      <c r="I7" s="21" t="n"/>
      <c r="J7" s="21" t="n"/>
      <c r="K7" s="21" t="n"/>
      <c r="L7" s="21" t="n"/>
      <c r="M7" s="21" t="n"/>
      <c r="N7" s="21" t="n"/>
      <c r="O7" s="21" t="n"/>
      <c r="P7" s="21" t="n"/>
      <c r="Q7" s="21" t="n"/>
      <c r="R7" s="21" t="n"/>
      <c r="S7" s="21" t="n"/>
      <c r="T7" s="21" t="n"/>
      <c r="U7" s="21" t="n"/>
      <c r="V7" s="21" t="n"/>
      <c r="W7" s="21" t="n"/>
      <c r="X7" s="21" t="n"/>
      <c r="Y7" s="21" t="n"/>
      <c r="Z7" s="21" t="n"/>
      <c r="AA7" s="21" t="n"/>
      <c r="AB7" s="21" t="n"/>
      <c r="AC7" s="21" t="n"/>
      <c r="AD7" s="23">
        <f>IFERROR((AVERAGE(E7,J7,O7,T7,Y7)*15+AVERAGE(F7,K7,P7,U7,Z7)*10+AVERAGE(G7,L7,Q7,V7,AA7)*5)/30,"")</f>
        <v/>
      </c>
      <c r="AE7" s="23">
        <f>IFERROR((AVERAGE(H7,M7,R7,W7,AB7)*10+AVERAGE(I7,N7,S7,X7,AC7)*10)/20,"")</f>
        <v/>
      </c>
      <c r="AF7" s="24">
        <f>IF(AND(AD7&lt;&gt;"",AE7&lt;&gt;""),(AD7*30+AE7*20)/50,IF(AD7&lt;&gt;"",AD7,IF(AE7&lt;&gt;"",AE7,"")))</f>
        <v/>
      </c>
      <c r="AG7" s="25">
        <f>IFERROR(RANK(AF7,$AF$4:$AF$15,0),"")</f>
        <v/>
      </c>
    </row>
    <row r="8" ht="16" customHeight="1">
      <c r="A8" s="10" t="n">
        <v>5</v>
      </c>
      <c r="B8" s="19" t="inlineStr">
        <is>
          <t>Grow With Nature</t>
        </is>
      </c>
      <c r="C8" s="20" t="inlineStr">
        <is>
          <t>Universitas Mataram</t>
        </is>
      </c>
      <c r="D8" s="10" t="inlineStr">
        <is>
          <t>Video</t>
        </is>
      </c>
      <c r="E8" s="21" t="n"/>
      <c r="F8" s="21" t="n"/>
      <c r="G8" s="21" t="n"/>
      <c r="H8" s="22" t="inlineStr">
        <is>
          <t>–</t>
        </is>
      </c>
      <c r="I8" s="22" t="inlineStr">
        <is>
          <t>–</t>
        </is>
      </c>
      <c r="J8" s="21" t="n"/>
      <c r="K8" s="21" t="n"/>
      <c r="L8" s="21" t="n"/>
      <c r="M8" s="22" t="inlineStr">
        <is>
          <t>–</t>
        </is>
      </c>
      <c r="N8" s="22" t="inlineStr">
        <is>
          <t>–</t>
        </is>
      </c>
      <c r="O8" s="21" t="n"/>
      <c r="P8" s="21" t="n"/>
      <c r="Q8" s="21" t="n"/>
      <c r="R8" s="22" t="inlineStr">
        <is>
          <t>–</t>
        </is>
      </c>
      <c r="S8" s="22" t="inlineStr">
        <is>
          <t>–</t>
        </is>
      </c>
      <c r="T8" s="21" t="n"/>
      <c r="U8" s="21" t="n"/>
      <c r="V8" s="21" t="n"/>
      <c r="W8" s="22" t="inlineStr">
        <is>
          <t>–</t>
        </is>
      </c>
      <c r="X8" s="22" t="inlineStr">
        <is>
          <t>–</t>
        </is>
      </c>
      <c r="Y8" s="21" t="n"/>
      <c r="Z8" s="21" t="n"/>
      <c r="AA8" s="21" t="n"/>
      <c r="AB8" s="22" t="inlineStr">
        <is>
          <t>–</t>
        </is>
      </c>
      <c r="AC8" s="22" t="inlineStr">
        <is>
          <t>–</t>
        </is>
      </c>
      <c r="AD8" s="23">
        <f>IFERROR((AVERAGE(E8,J8,O8,T8,Y8)*15+AVERAGE(F8,K8,P8,U8,Z8)*10+AVERAGE(G8,L8,Q8,V8,AA8)*5)/30,"")</f>
        <v/>
      </c>
      <c r="AE8" s="23" t="inlineStr"/>
      <c r="AF8" s="24">
        <f>IF(AND(AD8&lt;&gt;"",AE8&lt;&gt;""),(AD8*30+AE8*20)/50,IF(AD8&lt;&gt;"",AD8,IF(AE8&lt;&gt;"",AE8,"")))</f>
        <v/>
      </c>
      <c r="AG8" s="25">
        <f>IFERROR(RANK(AF8,$AF$4:$AF$15,0),"")</f>
        <v/>
      </c>
    </row>
    <row r="9" ht="16" customHeight="1">
      <c r="A9" s="10" t="n">
        <v>6</v>
      </c>
      <c r="B9" s="19" t="inlineStr">
        <is>
          <t>PANCA INSPIRASI</t>
        </is>
      </c>
      <c r="C9" s="20" t="inlineStr">
        <is>
          <t>Universitas Borneo Tarakan</t>
        </is>
      </c>
      <c r="D9" s="10" t="inlineStr">
        <is>
          <t>Poster</t>
        </is>
      </c>
      <c r="E9" s="22" t="inlineStr">
        <is>
          <t>–</t>
        </is>
      </c>
      <c r="F9" s="22" t="inlineStr">
        <is>
          <t>–</t>
        </is>
      </c>
      <c r="G9" s="22" t="inlineStr">
        <is>
          <t>–</t>
        </is>
      </c>
      <c r="H9" s="21" t="n"/>
      <c r="I9" s="21" t="n"/>
      <c r="J9" s="22" t="inlineStr">
        <is>
          <t>–</t>
        </is>
      </c>
      <c r="K9" s="22" t="inlineStr">
        <is>
          <t>–</t>
        </is>
      </c>
      <c r="L9" s="22" t="inlineStr">
        <is>
          <t>–</t>
        </is>
      </c>
      <c r="M9" s="21" t="n"/>
      <c r="N9" s="21" t="n"/>
      <c r="O9" s="22" t="inlineStr">
        <is>
          <t>–</t>
        </is>
      </c>
      <c r="P9" s="22" t="inlineStr">
        <is>
          <t>–</t>
        </is>
      </c>
      <c r="Q9" s="22" t="inlineStr">
        <is>
          <t>–</t>
        </is>
      </c>
      <c r="R9" s="21" t="n"/>
      <c r="S9" s="21" t="n"/>
      <c r="T9" s="22" t="inlineStr">
        <is>
          <t>–</t>
        </is>
      </c>
      <c r="U9" s="22" t="inlineStr">
        <is>
          <t>–</t>
        </is>
      </c>
      <c r="V9" s="22" t="inlineStr">
        <is>
          <t>–</t>
        </is>
      </c>
      <c r="W9" s="21" t="n"/>
      <c r="X9" s="21" t="n"/>
      <c r="Y9" s="22" t="inlineStr">
        <is>
          <t>–</t>
        </is>
      </c>
      <c r="Z9" s="22" t="inlineStr">
        <is>
          <t>–</t>
        </is>
      </c>
      <c r="AA9" s="22" t="inlineStr">
        <is>
          <t>–</t>
        </is>
      </c>
      <c r="AB9" s="21" t="n"/>
      <c r="AC9" s="21" t="n"/>
      <c r="AD9" s="23" t="inlineStr"/>
      <c r="AE9" s="23">
        <f>IFERROR((AVERAGE(H9,M9,R9,W9,AB9)*10+AVERAGE(I9,N9,S9,X9,AC9)*10)/20,"")</f>
        <v/>
      </c>
      <c r="AF9" s="24">
        <f>IF(AND(AD9&lt;&gt;"",AE9&lt;&gt;""),(AD9*30+AE9*20)/50,IF(AD9&lt;&gt;"",AD9,IF(AE9&lt;&gt;"",AE9,"")))</f>
        <v/>
      </c>
      <c r="AG9" s="25">
        <f>IFERROR(RANK(AF9,$AF$4:$AF$15,0),"")</f>
        <v/>
      </c>
    </row>
    <row r="10" ht="16" customHeight="1">
      <c r="A10" s="10" t="n">
        <v>7</v>
      </c>
      <c r="B10" s="19" t="inlineStr">
        <is>
          <t>TeamKWU</t>
        </is>
      </c>
      <c r="C10" s="20" t="inlineStr">
        <is>
          <t>Universitas Pasir Pengaraian</t>
        </is>
      </c>
      <c r="D10" s="10" t="inlineStr">
        <is>
          <t>Video</t>
        </is>
      </c>
      <c r="E10" s="21" t="n"/>
      <c r="F10" s="21" t="n"/>
      <c r="G10" s="21" t="n"/>
      <c r="H10" s="22" t="inlineStr">
        <is>
          <t>–</t>
        </is>
      </c>
      <c r="I10" s="22" t="inlineStr">
        <is>
          <t>–</t>
        </is>
      </c>
      <c r="J10" s="21" t="n"/>
      <c r="K10" s="21" t="n"/>
      <c r="L10" s="21" t="n"/>
      <c r="M10" s="22" t="inlineStr">
        <is>
          <t>–</t>
        </is>
      </c>
      <c r="N10" s="22" t="inlineStr">
        <is>
          <t>–</t>
        </is>
      </c>
      <c r="O10" s="21" t="n"/>
      <c r="P10" s="21" t="n"/>
      <c r="Q10" s="21" t="n"/>
      <c r="R10" s="22" t="inlineStr">
        <is>
          <t>–</t>
        </is>
      </c>
      <c r="S10" s="22" t="inlineStr">
        <is>
          <t>–</t>
        </is>
      </c>
      <c r="T10" s="21" t="n"/>
      <c r="U10" s="21" t="n"/>
      <c r="V10" s="21" t="n"/>
      <c r="W10" s="22" t="inlineStr">
        <is>
          <t>–</t>
        </is>
      </c>
      <c r="X10" s="22" t="inlineStr">
        <is>
          <t>–</t>
        </is>
      </c>
      <c r="Y10" s="21" t="n"/>
      <c r="Z10" s="21" t="n"/>
      <c r="AA10" s="21" t="n"/>
      <c r="AB10" s="22" t="inlineStr">
        <is>
          <t>–</t>
        </is>
      </c>
      <c r="AC10" s="22" t="inlineStr">
        <is>
          <t>–</t>
        </is>
      </c>
      <c r="AD10" s="23">
        <f>IFERROR((AVERAGE(E10,J10,O10,T10,Y10)*15+AVERAGE(F10,K10,P10,U10,Z10)*10+AVERAGE(G10,L10,Q10,V10,AA10)*5)/30,"")</f>
        <v/>
      </c>
      <c r="AE10" s="23" t="inlineStr"/>
      <c r="AF10" s="24">
        <f>IF(AND(AD10&lt;&gt;"",AE10&lt;&gt;""),(AD10*30+AE10*20)/50,IF(AD10&lt;&gt;"",AD10,IF(AE10&lt;&gt;"",AE10,"")))</f>
        <v/>
      </c>
      <c r="AG10" s="25">
        <f>IFERROR(RANK(AF10,$AF$4:$AF$15,0),"")</f>
        <v/>
      </c>
    </row>
    <row r="11" ht="16" customHeight="1">
      <c r="A11" s="10" t="n">
        <v>8</v>
      </c>
      <c r="B11" s="19" t="inlineStr">
        <is>
          <t>bahagia grup</t>
        </is>
      </c>
      <c r="C11" s="20" t="inlineStr">
        <is>
          <t>Universitas Negeri Surabaya</t>
        </is>
      </c>
      <c r="D11" s="10" t="inlineStr">
        <is>
          <t>Poster</t>
        </is>
      </c>
      <c r="E11" s="22" t="inlineStr">
        <is>
          <t>–</t>
        </is>
      </c>
      <c r="F11" s="22" t="inlineStr">
        <is>
          <t>–</t>
        </is>
      </c>
      <c r="G11" s="22" t="inlineStr">
        <is>
          <t>–</t>
        </is>
      </c>
      <c r="H11" s="21" t="n"/>
      <c r="I11" s="21" t="n"/>
      <c r="J11" s="22" t="inlineStr">
        <is>
          <t>–</t>
        </is>
      </c>
      <c r="K11" s="22" t="inlineStr">
        <is>
          <t>–</t>
        </is>
      </c>
      <c r="L11" s="22" t="inlineStr">
        <is>
          <t>–</t>
        </is>
      </c>
      <c r="M11" s="21" t="n"/>
      <c r="N11" s="21" t="n"/>
      <c r="O11" s="22" t="inlineStr">
        <is>
          <t>–</t>
        </is>
      </c>
      <c r="P11" s="22" t="inlineStr">
        <is>
          <t>–</t>
        </is>
      </c>
      <c r="Q11" s="22" t="inlineStr">
        <is>
          <t>–</t>
        </is>
      </c>
      <c r="R11" s="21" t="n"/>
      <c r="S11" s="21" t="n"/>
      <c r="T11" s="22" t="inlineStr">
        <is>
          <t>–</t>
        </is>
      </c>
      <c r="U11" s="22" t="inlineStr">
        <is>
          <t>–</t>
        </is>
      </c>
      <c r="V11" s="22" t="inlineStr">
        <is>
          <t>–</t>
        </is>
      </c>
      <c r="W11" s="21" t="n"/>
      <c r="X11" s="21" t="n"/>
      <c r="Y11" s="22" t="inlineStr">
        <is>
          <t>–</t>
        </is>
      </c>
      <c r="Z11" s="22" t="inlineStr">
        <is>
          <t>–</t>
        </is>
      </c>
      <c r="AA11" s="22" t="inlineStr">
        <is>
          <t>–</t>
        </is>
      </c>
      <c r="AB11" s="21" t="n"/>
      <c r="AC11" s="21" t="n"/>
      <c r="AD11" s="23" t="inlineStr"/>
      <c r="AE11" s="23">
        <f>IFERROR((AVERAGE(H11,M11,R11,W11,AB11)*10+AVERAGE(I11,N11,S11,X11,AC11)*10)/20,"")</f>
        <v/>
      </c>
      <c r="AF11" s="24">
        <f>IF(AND(AD11&lt;&gt;"",AE11&lt;&gt;""),(AD11*30+AE11*20)/50,IF(AD11&lt;&gt;"",AD11,IF(AE11&lt;&gt;"",AE11,"")))</f>
        <v/>
      </c>
      <c r="AG11" s="25">
        <f>IFERROR(RANK(AF11,$AF$4:$AF$15,0),"")</f>
        <v/>
      </c>
    </row>
    <row r="12" ht="16" customHeight="1">
      <c r="A12" s="10" t="n">
        <v>9</v>
      </c>
      <c r="B12" s="19" t="inlineStr">
        <is>
          <t>EcoRizz</t>
        </is>
      </c>
      <c r="C12" s="20" t="inlineStr">
        <is>
          <t>Universitas Mataram</t>
        </is>
      </c>
      <c r="D12" s="10" t="inlineStr">
        <is>
          <t>Poster</t>
        </is>
      </c>
      <c r="E12" s="22" t="inlineStr">
        <is>
          <t>–</t>
        </is>
      </c>
      <c r="F12" s="22" t="inlineStr">
        <is>
          <t>–</t>
        </is>
      </c>
      <c r="G12" s="22" t="inlineStr">
        <is>
          <t>–</t>
        </is>
      </c>
      <c r="H12" s="21" t="n"/>
      <c r="I12" s="21" t="n"/>
      <c r="J12" s="22" t="inlineStr">
        <is>
          <t>–</t>
        </is>
      </c>
      <c r="K12" s="22" t="inlineStr">
        <is>
          <t>–</t>
        </is>
      </c>
      <c r="L12" s="22" t="inlineStr">
        <is>
          <t>–</t>
        </is>
      </c>
      <c r="M12" s="21" t="n"/>
      <c r="N12" s="21" t="n"/>
      <c r="O12" s="22" t="inlineStr">
        <is>
          <t>–</t>
        </is>
      </c>
      <c r="P12" s="22" t="inlineStr">
        <is>
          <t>–</t>
        </is>
      </c>
      <c r="Q12" s="22" t="inlineStr">
        <is>
          <t>–</t>
        </is>
      </c>
      <c r="R12" s="21" t="n"/>
      <c r="S12" s="21" t="n"/>
      <c r="T12" s="22" t="inlineStr">
        <is>
          <t>–</t>
        </is>
      </c>
      <c r="U12" s="22" t="inlineStr">
        <is>
          <t>–</t>
        </is>
      </c>
      <c r="V12" s="22" t="inlineStr">
        <is>
          <t>–</t>
        </is>
      </c>
      <c r="W12" s="21" t="n"/>
      <c r="X12" s="21" t="n"/>
      <c r="Y12" s="22" t="inlineStr">
        <is>
          <t>–</t>
        </is>
      </c>
      <c r="Z12" s="22" t="inlineStr">
        <is>
          <t>–</t>
        </is>
      </c>
      <c r="AA12" s="22" t="inlineStr">
        <is>
          <t>–</t>
        </is>
      </c>
      <c r="AB12" s="21" t="n"/>
      <c r="AC12" s="21" t="n"/>
      <c r="AD12" s="23" t="inlineStr"/>
      <c r="AE12" s="23">
        <f>IFERROR((AVERAGE(H12,M12,R12,W12,AB12)*10+AVERAGE(I12,N12,S12,X12,AC12)*10)/20,"")</f>
        <v/>
      </c>
      <c r="AF12" s="24">
        <f>IF(AND(AD12&lt;&gt;"",AE12&lt;&gt;""),(AD12*30+AE12*20)/50,IF(AD12&lt;&gt;"",AD12,IF(AE12&lt;&gt;"",AE12,"")))</f>
        <v/>
      </c>
      <c r="AG12" s="25">
        <f>IFERROR(RANK(AF12,$AF$4:$AF$15,0),"")</f>
        <v/>
      </c>
    </row>
    <row r="13" ht="16" customHeight="1">
      <c r="A13" s="10" t="n">
        <v>10</v>
      </c>
      <c r="B13" s="19" t="inlineStr">
        <is>
          <t>SortNova.team</t>
        </is>
      </c>
      <c r="C13" s="20" t="inlineStr">
        <is>
          <t>Universitas Mataram</t>
        </is>
      </c>
      <c r="D13" s="10" t="inlineStr">
        <is>
          <t>Video</t>
        </is>
      </c>
      <c r="E13" s="21" t="n"/>
      <c r="F13" s="21" t="n"/>
      <c r="G13" s="21" t="n"/>
      <c r="H13" s="22" t="inlineStr">
        <is>
          <t>–</t>
        </is>
      </c>
      <c r="I13" s="22" t="inlineStr">
        <is>
          <t>–</t>
        </is>
      </c>
      <c r="J13" s="21" t="n"/>
      <c r="K13" s="21" t="n"/>
      <c r="L13" s="21" t="n"/>
      <c r="M13" s="22" t="inlineStr">
        <is>
          <t>–</t>
        </is>
      </c>
      <c r="N13" s="22" t="inlineStr">
        <is>
          <t>–</t>
        </is>
      </c>
      <c r="O13" s="21" t="n"/>
      <c r="P13" s="21" t="n"/>
      <c r="Q13" s="21" t="n"/>
      <c r="R13" s="22" t="inlineStr">
        <is>
          <t>–</t>
        </is>
      </c>
      <c r="S13" s="22" t="inlineStr">
        <is>
          <t>–</t>
        </is>
      </c>
      <c r="T13" s="21" t="n"/>
      <c r="U13" s="21" t="n"/>
      <c r="V13" s="21" t="n"/>
      <c r="W13" s="22" t="inlineStr">
        <is>
          <t>–</t>
        </is>
      </c>
      <c r="X13" s="22" t="inlineStr">
        <is>
          <t>–</t>
        </is>
      </c>
      <c r="Y13" s="21" t="n"/>
      <c r="Z13" s="21" t="n"/>
      <c r="AA13" s="21" t="n"/>
      <c r="AB13" s="22" t="inlineStr">
        <is>
          <t>–</t>
        </is>
      </c>
      <c r="AC13" s="22" t="inlineStr">
        <is>
          <t>–</t>
        </is>
      </c>
      <c r="AD13" s="23">
        <f>IFERROR((AVERAGE(E13,J13,O13,T13,Y13)*15+AVERAGE(F13,K13,P13,U13,Z13)*10+AVERAGE(G13,L13,Q13,V13,AA13)*5)/30,"")</f>
        <v/>
      </c>
      <c r="AE13" s="23" t="inlineStr"/>
      <c r="AF13" s="24">
        <f>IF(AND(AD13&lt;&gt;"",AE13&lt;&gt;""),(AD13*30+AE13*20)/50,IF(AD13&lt;&gt;"",AD13,IF(AE13&lt;&gt;"",AE13,"")))</f>
        <v/>
      </c>
      <c r="AG13" s="25">
        <f>IFERROR(RANK(AF13,$AF$4:$AF$15,0),"")</f>
        <v/>
      </c>
    </row>
    <row r="14" ht="16" customHeight="1">
      <c r="A14" s="10" t="n">
        <v>11</v>
      </c>
      <c r="B14" s="19" t="inlineStr">
        <is>
          <t>tim hore</t>
        </is>
      </c>
      <c r="C14" s="20" t="inlineStr">
        <is>
          <t>Universitas Mataram</t>
        </is>
      </c>
      <c r="D14" s="10" t="inlineStr">
        <is>
          <t>Poster</t>
        </is>
      </c>
      <c r="E14" s="22" t="inlineStr">
        <is>
          <t>–</t>
        </is>
      </c>
      <c r="F14" s="22" t="inlineStr">
        <is>
          <t>–</t>
        </is>
      </c>
      <c r="G14" s="22" t="inlineStr">
        <is>
          <t>–</t>
        </is>
      </c>
      <c r="H14" s="21" t="n"/>
      <c r="I14" s="21" t="n"/>
      <c r="J14" s="22" t="inlineStr">
        <is>
          <t>–</t>
        </is>
      </c>
      <c r="K14" s="22" t="inlineStr">
        <is>
          <t>–</t>
        </is>
      </c>
      <c r="L14" s="22" t="inlineStr">
        <is>
          <t>–</t>
        </is>
      </c>
      <c r="M14" s="21" t="n"/>
      <c r="N14" s="21" t="n"/>
      <c r="O14" s="22" t="inlineStr">
        <is>
          <t>–</t>
        </is>
      </c>
      <c r="P14" s="22" t="inlineStr">
        <is>
          <t>–</t>
        </is>
      </c>
      <c r="Q14" s="22" t="inlineStr">
        <is>
          <t>–</t>
        </is>
      </c>
      <c r="R14" s="21" t="n"/>
      <c r="S14" s="21" t="n"/>
      <c r="T14" s="22" t="inlineStr">
        <is>
          <t>–</t>
        </is>
      </c>
      <c r="U14" s="22" t="inlineStr">
        <is>
          <t>–</t>
        </is>
      </c>
      <c r="V14" s="22" t="inlineStr">
        <is>
          <t>–</t>
        </is>
      </c>
      <c r="W14" s="21" t="n"/>
      <c r="X14" s="21" t="n"/>
      <c r="Y14" s="22" t="inlineStr">
        <is>
          <t>–</t>
        </is>
      </c>
      <c r="Z14" s="22" t="inlineStr">
        <is>
          <t>–</t>
        </is>
      </c>
      <c r="AA14" s="22" t="inlineStr">
        <is>
          <t>–</t>
        </is>
      </c>
      <c r="AB14" s="21" t="n"/>
      <c r="AC14" s="21" t="n"/>
      <c r="AD14" s="23" t="inlineStr"/>
      <c r="AE14" s="23">
        <f>IFERROR((AVERAGE(H14,M14,R14,W14,AB14)*10+AVERAGE(I14,N14,S14,X14,AC14)*10)/20,"")</f>
        <v/>
      </c>
      <c r="AF14" s="24">
        <f>IF(AND(AD14&lt;&gt;"",AE14&lt;&gt;""),(AD14*30+AE14*20)/50,IF(AD14&lt;&gt;"",AD14,IF(AE14&lt;&gt;"",AE14,"")))</f>
        <v/>
      </c>
      <c r="AG14" s="25">
        <f>IFERROR(RANK(AF14,$AF$4:$AF$15,0),"")</f>
        <v/>
      </c>
    </row>
    <row r="15" ht="16" customHeight="1">
      <c r="A15" s="10" t="n">
        <v>12</v>
      </c>
      <c r="B15" s="19" t="inlineStr">
        <is>
          <t>The last trace team</t>
        </is>
      </c>
      <c r="C15" s="20" t="inlineStr">
        <is>
          <t>Universitas Mataram</t>
        </is>
      </c>
      <c r="D15" s="10" t="inlineStr">
        <is>
          <t>Video</t>
        </is>
      </c>
      <c r="E15" s="21" t="n"/>
      <c r="F15" s="21" t="n"/>
      <c r="G15" s="21" t="n"/>
      <c r="H15" s="22" t="inlineStr">
        <is>
          <t>–</t>
        </is>
      </c>
      <c r="I15" s="22" t="inlineStr">
        <is>
          <t>–</t>
        </is>
      </c>
      <c r="J15" s="21" t="n"/>
      <c r="K15" s="21" t="n"/>
      <c r="L15" s="21" t="n"/>
      <c r="M15" s="22" t="inlineStr">
        <is>
          <t>–</t>
        </is>
      </c>
      <c r="N15" s="22" t="inlineStr">
        <is>
          <t>–</t>
        </is>
      </c>
      <c r="O15" s="21" t="n"/>
      <c r="P15" s="21" t="n"/>
      <c r="Q15" s="21" t="n"/>
      <c r="R15" s="22" t="inlineStr">
        <is>
          <t>–</t>
        </is>
      </c>
      <c r="S15" s="22" t="inlineStr">
        <is>
          <t>–</t>
        </is>
      </c>
      <c r="T15" s="21" t="n"/>
      <c r="U15" s="21" t="n"/>
      <c r="V15" s="21" t="n"/>
      <c r="W15" s="22" t="inlineStr">
        <is>
          <t>–</t>
        </is>
      </c>
      <c r="X15" s="22" t="inlineStr">
        <is>
          <t>–</t>
        </is>
      </c>
      <c r="Y15" s="21" t="n"/>
      <c r="Z15" s="21" t="n"/>
      <c r="AA15" s="21" t="n"/>
      <c r="AB15" s="22" t="inlineStr">
        <is>
          <t>–</t>
        </is>
      </c>
      <c r="AC15" s="22" t="inlineStr">
        <is>
          <t>–</t>
        </is>
      </c>
      <c r="AD15" s="23">
        <f>IFERROR((AVERAGE(E15,J15,O15,T15,Y15)*15+AVERAGE(F15,K15,P15,U15,Z15)*10+AVERAGE(G15,L15,Q15,V15,AA15)*5)/30,"")</f>
        <v/>
      </c>
      <c r="AE15" s="23" t="inlineStr"/>
      <c r="AF15" s="24">
        <f>IF(AND(AD15&lt;&gt;"",AE15&lt;&gt;""),(AD15*30+AE15*20)/50,IF(AD15&lt;&gt;"",AD15,IF(AE15&lt;&gt;"",AE15,"")))</f>
        <v/>
      </c>
      <c r="AG15" s="25">
        <f>IFERROR(RANK(AF15,$AF$4:$AF$15,0),"")</f>
        <v/>
      </c>
    </row>
    <row r="17">
      <c r="B17" s="6" t="inlineStr">
        <is>
          <t>Kuning = isi skor 0–100 di sini    •    Abu-abu (–) = tidak berlaku untuk kategori tim ini    •    Kolom emas = terisi otomatis, jangan diedit</t>
        </is>
      </c>
    </row>
  </sheetData>
  <mergeCells count="15">
    <mergeCell ref="A1:AG1"/>
    <mergeCell ref="AD2:AD3"/>
    <mergeCell ref="O2:S2"/>
    <mergeCell ref="C2:C3"/>
    <mergeCell ref="T2:X2"/>
    <mergeCell ref="E2:I2"/>
    <mergeCell ref="J2:N2"/>
    <mergeCell ref="Y2:AC2"/>
    <mergeCell ref="AG2:AG3"/>
    <mergeCell ref="B17:AG17"/>
    <mergeCell ref="B2:B3"/>
    <mergeCell ref="A2:A3"/>
    <mergeCell ref="AE2:AE3"/>
    <mergeCell ref="D2:D3"/>
    <mergeCell ref="AF2:AF3"/>
  </mergeCells>
  <dataValidations count="1">
    <dataValidation sqref="E4 E6 E7 E8 E10 E13 E15 F4 F6 F7 F8 F10 F13 F15 G4 G6 G7 G8 G10 G13 G15 H5 H7 H9 H11 H12 H14 I5 I7 I9 I11 I12 I14 J4 J6 J7 J8 J10 J13 J15 K4 K6 K7 K8 K10 K13 K15 L4 L6 L7 L8 L10 L13 L15 M5 M7 M9 M11 M12 M14 N5 N7 N9 N11 N12 N14 O4 O6 O7 O8 O10 O13 O15 P4 P6 P7 P8 P10 P13 P15 Q4 Q6 Q7 Q8 Q10 Q13 Q15 R5 R7 R9 R11 R12 R14 S5 S7 S9 S11 S12 S14 T4 T6 T7 T8 T10 T13 T15 U4 U6 U7 U8 U10 U13 U15 V4 V6 V7 V8 V10 V13 V15 W5 W7 W9 W11 W12 W14 X5 X7 X9 X11 X12 X14 Y4 Y6 Y7 Y8 Y10 Y13 Y15 Z4 Z6 Z7 Z8 Z10 Z13 Z15 AA4 AA6 AA7 AA8 AA10 AA13 AA15 AB5 AB7 AB9 AB11 AB12 AB14 AC5 AC7 AC9 AC11 AC12 AC14" showDropDown="0" showInputMessage="0" showErrorMessage="1" allowBlank="1" errorTitle="Skor tidak valid" error="Masukkan angka 0–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7"/>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26" customWidth="1" min="3" max="3"/>
    <col width="12" customWidth="1" min="4" max="4"/>
    <col width="8.199999999999999" customWidth="1" min="5" max="5"/>
    <col width="8.199999999999999" customWidth="1" min="6" max="6"/>
    <col width="8.199999999999999" customWidth="1" min="7" max="7"/>
    <col width="8.199999999999999" customWidth="1" min="8" max="8"/>
    <col width="8.199999999999999" customWidth="1" min="9" max="9"/>
    <col width="8.199999999999999" customWidth="1" min="10" max="10"/>
    <col width="8.199999999999999" customWidth="1" min="11" max="11"/>
    <col width="8.199999999999999" customWidth="1" min="12" max="12"/>
    <col width="8.199999999999999" customWidth="1" min="13" max="13"/>
    <col width="8.199999999999999" customWidth="1" min="14" max="14"/>
    <col width="8.199999999999999" customWidth="1" min="15" max="15"/>
    <col width="8.199999999999999" customWidth="1" min="16" max="16"/>
    <col width="8.199999999999999" customWidth="1" min="17" max="17"/>
    <col width="8.199999999999999" customWidth="1" min="18" max="18"/>
    <col width="8.199999999999999" customWidth="1" min="19" max="19"/>
    <col width="8.199999999999999" customWidth="1" min="20" max="20"/>
    <col width="8.199999999999999" customWidth="1" min="21" max="21"/>
    <col width="8.199999999999999" customWidth="1" min="22" max="22"/>
    <col width="8.199999999999999" customWidth="1" min="23" max="23"/>
    <col width="8.199999999999999" customWidth="1" min="24" max="24"/>
    <col width="12" customWidth="1" min="25" max="25"/>
    <col width="12" customWidth="1" min="26" max="26"/>
  </cols>
  <sheetData>
    <row r="1">
      <c r="A1" s="12" t="inlineStr">
        <is>
          <t>PENILAIAN JURI — PRESENTASI FINALIS, 22 AGUSTUS 2026 (BOBOT 50%) — HANYA UNTUK 10 FINALIS</t>
        </is>
      </c>
    </row>
    <row r="2" ht="22" customHeight="1">
      <c r="A2" s="8" t="inlineStr">
        <is>
          <t>No</t>
        </is>
      </c>
      <c r="B2" s="8" t="inlineStr">
        <is>
          <t>Nama Tim</t>
        </is>
      </c>
      <c r="C2" s="8" t="inlineStr">
        <is>
          <t>Perguruan Tinggi</t>
        </is>
      </c>
      <c r="D2" s="8" t="inlineStr">
        <is>
          <t>Kategori</t>
        </is>
      </c>
      <c r="E2" s="8" t="inlineStr">
        <is>
          <t>Dr. Epin S. (ITB)</t>
        </is>
      </c>
      <c r="F2" s="13" t="n"/>
      <c r="G2" s="13" t="n"/>
      <c r="H2" s="13" t="n"/>
      <c r="I2" s="14" t="inlineStr">
        <is>
          <t>Dr. Heri S. (UGM)</t>
        </is>
      </c>
      <c r="J2" s="13" t="n"/>
      <c r="K2" s="13" t="n"/>
      <c r="L2" s="13" t="n"/>
      <c r="M2" s="8" t="inlineStr">
        <is>
          <t>Ir. Riadi B. (Untan)</t>
        </is>
      </c>
      <c r="N2" s="13" t="n"/>
      <c r="O2" s="13" t="n"/>
      <c r="P2" s="13" t="n"/>
      <c r="Q2" s="14" t="inlineStr">
        <is>
          <t>Aurelius T. (Unram)</t>
        </is>
      </c>
      <c r="R2" s="13" t="n"/>
      <c r="S2" s="13" t="n"/>
      <c r="T2" s="13" t="n"/>
      <c r="U2" s="8" t="inlineStr">
        <is>
          <t>Ida Ayu S. (Unram)</t>
        </is>
      </c>
      <c r="V2" s="13" t="n"/>
      <c r="W2" s="13" t="n"/>
      <c r="X2" s="13" t="n"/>
      <c r="Y2" s="15" t="inlineStr">
        <is>
          <t>Skor
Presentasi</t>
        </is>
      </c>
      <c r="Z2" s="15" t="inlineStr">
        <is>
          <t>Peringkat</t>
        </is>
      </c>
    </row>
    <row r="3" ht="30" customHeight="1">
      <c r="A3" s="16" t="n"/>
      <c r="B3" s="16" t="n"/>
      <c r="C3" s="16" t="n"/>
      <c r="D3" s="16" t="n"/>
      <c r="E3" s="17" t="inlineStr">
        <is>
          <t>C1
Substansi &amp;
Dampak</t>
        </is>
      </c>
      <c r="F3" s="17" t="inlineStr">
        <is>
          <t>C2
Integrasi
Nilai MKWK</t>
        </is>
      </c>
      <c r="G3" s="17" t="inlineStr">
        <is>
          <t>C3
Inovasi &amp;
Orisinalitas</t>
        </is>
      </c>
      <c r="H3" s="17" t="inlineStr">
        <is>
          <t>C4
Penguasaan &amp;
Q&amp;A</t>
        </is>
      </c>
      <c r="I3" s="17" t="inlineStr">
        <is>
          <t>C1
Substansi &amp;
Dampak</t>
        </is>
      </c>
      <c r="J3" s="17" t="inlineStr">
        <is>
          <t>C2
Integrasi
Nilai MKWK</t>
        </is>
      </c>
      <c r="K3" s="17" t="inlineStr">
        <is>
          <t>C3
Inovasi &amp;
Orisinalitas</t>
        </is>
      </c>
      <c r="L3" s="17" t="inlineStr">
        <is>
          <t>C4
Penguasaan &amp;
Q&amp;A</t>
        </is>
      </c>
      <c r="M3" s="17" t="inlineStr">
        <is>
          <t>C1
Substansi &amp;
Dampak</t>
        </is>
      </c>
      <c r="N3" s="17" t="inlineStr">
        <is>
          <t>C2
Integrasi
Nilai MKWK</t>
        </is>
      </c>
      <c r="O3" s="17" t="inlineStr">
        <is>
          <t>C3
Inovasi &amp;
Orisinalitas</t>
        </is>
      </c>
      <c r="P3" s="17" t="inlineStr">
        <is>
          <t>C4
Penguasaan &amp;
Q&amp;A</t>
        </is>
      </c>
      <c r="Q3" s="17" t="inlineStr">
        <is>
          <t>C1
Substansi &amp;
Dampak</t>
        </is>
      </c>
      <c r="R3" s="17" t="inlineStr">
        <is>
          <t>C2
Integrasi
Nilai MKWK</t>
        </is>
      </c>
      <c r="S3" s="17" t="inlineStr">
        <is>
          <t>C3
Inovasi &amp;
Orisinalitas</t>
        </is>
      </c>
      <c r="T3" s="17" t="inlineStr">
        <is>
          <t>C4
Penguasaan &amp;
Q&amp;A</t>
        </is>
      </c>
      <c r="U3" s="17" t="inlineStr">
        <is>
          <t>C1
Substansi &amp;
Dampak</t>
        </is>
      </c>
      <c r="V3" s="17" t="inlineStr">
        <is>
          <t>C2
Integrasi
Nilai MKWK</t>
        </is>
      </c>
      <c r="W3" s="17" t="inlineStr">
        <is>
          <t>C3
Inovasi &amp;
Orisinalitas</t>
        </is>
      </c>
      <c r="X3" s="17" t="inlineStr">
        <is>
          <t>C4
Penguasaan &amp;
Q&amp;A</t>
        </is>
      </c>
      <c r="Y3" s="18" t="n"/>
      <c r="Z3" s="18" t="n"/>
    </row>
    <row r="4" ht="16" customHeight="1">
      <c r="A4" s="10" t="n">
        <v>1</v>
      </c>
      <c r="B4" s="19" t="inlineStr">
        <is>
          <t>Nusa Data Team</t>
        </is>
      </c>
      <c r="C4" s="20" t="inlineStr">
        <is>
          <t>Politeknik Al Islam Bandung</t>
        </is>
      </c>
      <c r="D4" s="10" t="inlineStr">
        <is>
          <t>Video</t>
        </is>
      </c>
      <c r="E4" s="21" t="n"/>
      <c r="F4" s="21" t="n"/>
      <c r="G4" s="21" t="n"/>
      <c r="H4" s="21" t="n"/>
      <c r="I4" s="21" t="n"/>
      <c r="J4" s="21" t="n"/>
      <c r="K4" s="21" t="n"/>
      <c r="L4" s="21" t="n"/>
      <c r="M4" s="21" t="n"/>
      <c r="N4" s="21" t="n"/>
      <c r="O4" s="21" t="n"/>
      <c r="P4" s="21" t="n"/>
      <c r="Q4" s="21" t="n"/>
      <c r="R4" s="21" t="n"/>
      <c r="S4" s="21" t="n"/>
      <c r="T4" s="21" t="n"/>
      <c r="U4" s="21" t="n"/>
      <c r="V4" s="21" t="n"/>
      <c r="W4" s="21" t="n"/>
      <c r="X4" s="21" t="n"/>
      <c r="Y4" s="24">
        <f>IFERROR((AVERAGE(E4,I4,M4,Q4,U4)*20+AVERAGE(F4,J4,N4,R4,V4)*15+AVERAGE(G4,K4,O4,S4,W4)*10+AVERAGE(H4,L4,P4,T4,X4)*5)/50,"")</f>
        <v/>
      </c>
      <c r="Z4" s="25">
        <f>IFERROR(RANK(Y4,$Y$4:$Y$15,0),"")</f>
        <v/>
      </c>
    </row>
    <row r="5" ht="16" customHeight="1">
      <c r="A5" s="10" t="n">
        <v>2</v>
      </c>
      <c r="B5" s="19" t="inlineStr">
        <is>
          <t>GarudaAksi</t>
        </is>
      </c>
      <c r="C5" s="20" t="inlineStr">
        <is>
          <t>Universitas Muhammadiyah Riau</t>
        </is>
      </c>
      <c r="D5" s="10" t="inlineStr">
        <is>
          <t>Poster</t>
        </is>
      </c>
      <c r="E5" s="21" t="n"/>
      <c r="F5" s="21" t="n"/>
      <c r="G5" s="21" t="n"/>
      <c r="H5" s="21" t="n"/>
      <c r="I5" s="21" t="n"/>
      <c r="J5" s="21" t="n"/>
      <c r="K5" s="21" t="n"/>
      <c r="L5" s="21" t="n"/>
      <c r="M5" s="21" t="n"/>
      <c r="N5" s="21" t="n"/>
      <c r="O5" s="21" t="n"/>
      <c r="P5" s="21" t="n"/>
      <c r="Q5" s="21" t="n"/>
      <c r="R5" s="21" t="n"/>
      <c r="S5" s="21" t="n"/>
      <c r="T5" s="21" t="n"/>
      <c r="U5" s="21" t="n"/>
      <c r="V5" s="21" t="n"/>
      <c r="W5" s="21" t="n"/>
      <c r="X5" s="21" t="n"/>
      <c r="Y5" s="24">
        <f>IFERROR((AVERAGE(E5,I5,M5,Q5,U5)*20+AVERAGE(F5,J5,N5,R5,V5)*15+AVERAGE(G5,K5,O5,S5,W5)*10+AVERAGE(H5,L5,P5,T5,X5)*5)/50,"")</f>
        <v/>
      </c>
      <c r="Z5" s="25">
        <f>IFERROR(RANK(Y5,$Y$4:$Y$15,0),"")</f>
        <v/>
      </c>
    </row>
    <row r="6" ht="16" customHeight="1">
      <c r="A6" s="10" t="n">
        <v>3</v>
      </c>
      <c r="B6" s="19" t="inlineStr">
        <is>
          <t>Nawasena</t>
        </is>
      </c>
      <c r="C6" s="20" t="inlineStr">
        <is>
          <t>Sekolah Tinggi Agama Hindu Dharma Nusantara Jakarta</t>
        </is>
      </c>
      <c r="D6" s="10" t="inlineStr">
        <is>
          <t>Video</t>
        </is>
      </c>
      <c r="E6" s="21" t="n"/>
      <c r="F6" s="21" t="n"/>
      <c r="G6" s="21" t="n"/>
      <c r="H6" s="21" t="n"/>
      <c r="I6" s="21" t="n"/>
      <c r="J6" s="21" t="n"/>
      <c r="K6" s="21" t="n"/>
      <c r="L6" s="21" t="n"/>
      <c r="M6" s="21" t="n"/>
      <c r="N6" s="21" t="n"/>
      <c r="O6" s="21" t="n"/>
      <c r="P6" s="21" t="n"/>
      <c r="Q6" s="21" t="n"/>
      <c r="R6" s="21" t="n"/>
      <c r="S6" s="21" t="n"/>
      <c r="T6" s="21" t="n"/>
      <c r="U6" s="21" t="n"/>
      <c r="V6" s="21" t="n"/>
      <c r="W6" s="21" t="n"/>
      <c r="X6" s="21" t="n"/>
      <c r="Y6" s="24">
        <f>IFERROR((AVERAGE(E6,I6,M6,Q6,U6)*20+AVERAGE(F6,J6,N6,R6,V6)*15+AVERAGE(G6,K6,O6,S6,W6)*10+AVERAGE(H6,L6,P6,T6,X6)*5)/50,"")</f>
        <v/>
      </c>
      <c r="Z6" s="25">
        <f>IFERROR(RANK(Y6,$Y$4:$Y$15,0),"")</f>
        <v/>
      </c>
    </row>
    <row r="7" ht="16" customHeight="1">
      <c r="A7" s="10" t="n">
        <v>4</v>
      </c>
      <c r="B7" s="19" t="inlineStr">
        <is>
          <t>Tim Karsa Nusantara UMRI</t>
        </is>
      </c>
      <c r="C7" s="20" t="inlineStr">
        <is>
          <t>Universitas Muhammadiyah Riau</t>
        </is>
      </c>
      <c r="D7" s="10" t="inlineStr">
        <is>
          <t>Video &amp; Poster</t>
        </is>
      </c>
      <c r="E7" s="21" t="n"/>
      <c r="F7" s="21" t="n"/>
      <c r="G7" s="21" t="n"/>
      <c r="H7" s="21" t="n"/>
      <c r="I7" s="21" t="n"/>
      <c r="J7" s="21" t="n"/>
      <c r="K7" s="21" t="n"/>
      <c r="L7" s="21" t="n"/>
      <c r="M7" s="21" t="n"/>
      <c r="N7" s="21" t="n"/>
      <c r="O7" s="21" t="n"/>
      <c r="P7" s="21" t="n"/>
      <c r="Q7" s="21" t="n"/>
      <c r="R7" s="21" t="n"/>
      <c r="S7" s="21" t="n"/>
      <c r="T7" s="21" t="n"/>
      <c r="U7" s="21" t="n"/>
      <c r="V7" s="21" t="n"/>
      <c r="W7" s="21" t="n"/>
      <c r="X7" s="21" t="n"/>
      <c r="Y7" s="24">
        <f>IFERROR((AVERAGE(E7,I7,M7,Q7,U7)*20+AVERAGE(F7,J7,N7,R7,V7)*15+AVERAGE(G7,K7,O7,S7,W7)*10+AVERAGE(H7,L7,P7,T7,X7)*5)/50,"")</f>
        <v/>
      </c>
      <c r="Z7" s="25">
        <f>IFERROR(RANK(Y7,$Y$4:$Y$15,0),"")</f>
        <v/>
      </c>
    </row>
    <row r="8" ht="16" customHeight="1">
      <c r="A8" s="10" t="n">
        <v>5</v>
      </c>
      <c r="B8" s="19" t="inlineStr">
        <is>
          <t>Grow With Nature</t>
        </is>
      </c>
      <c r="C8" s="20" t="inlineStr">
        <is>
          <t>Universitas Mataram</t>
        </is>
      </c>
      <c r="D8" s="10" t="inlineStr">
        <is>
          <t>Video</t>
        </is>
      </c>
      <c r="E8" s="21" t="n"/>
      <c r="F8" s="21" t="n"/>
      <c r="G8" s="21" t="n"/>
      <c r="H8" s="21" t="n"/>
      <c r="I8" s="21" t="n"/>
      <c r="J8" s="21" t="n"/>
      <c r="K8" s="21" t="n"/>
      <c r="L8" s="21" t="n"/>
      <c r="M8" s="21" t="n"/>
      <c r="N8" s="21" t="n"/>
      <c r="O8" s="21" t="n"/>
      <c r="P8" s="21" t="n"/>
      <c r="Q8" s="21" t="n"/>
      <c r="R8" s="21" t="n"/>
      <c r="S8" s="21" t="n"/>
      <c r="T8" s="21" t="n"/>
      <c r="U8" s="21" t="n"/>
      <c r="V8" s="21" t="n"/>
      <c r="W8" s="21" t="n"/>
      <c r="X8" s="21" t="n"/>
      <c r="Y8" s="24">
        <f>IFERROR((AVERAGE(E8,I8,M8,Q8,U8)*20+AVERAGE(F8,J8,N8,R8,V8)*15+AVERAGE(G8,K8,O8,S8,W8)*10+AVERAGE(H8,L8,P8,T8,X8)*5)/50,"")</f>
        <v/>
      </c>
      <c r="Z8" s="25">
        <f>IFERROR(RANK(Y8,$Y$4:$Y$15,0),"")</f>
        <v/>
      </c>
    </row>
    <row r="9" ht="16" customHeight="1">
      <c r="A9" s="10" t="n">
        <v>6</v>
      </c>
      <c r="B9" s="19" t="inlineStr">
        <is>
          <t>PANCA INSPIRASI</t>
        </is>
      </c>
      <c r="C9" s="20" t="inlineStr">
        <is>
          <t>Universitas Borneo Tarakan</t>
        </is>
      </c>
      <c r="D9" s="10" t="inlineStr">
        <is>
          <t>Poster</t>
        </is>
      </c>
      <c r="E9" s="21" t="n"/>
      <c r="F9" s="21" t="n"/>
      <c r="G9" s="21" t="n"/>
      <c r="H9" s="21" t="n"/>
      <c r="I9" s="21" t="n"/>
      <c r="J9" s="21" t="n"/>
      <c r="K9" s="21" t="n"/>
      <c r="L9" s="21" t="n"/>
      <c r="M9" s="21" t="n"/>
      <c r="N9" s="21" t="n"/>
      <c r="O9" s="21" t="n"/>
      <c r="P9" s="21" t="n"/>
      <c r="Q9" s="21" t="n"/>
      <c r="R9" s="21" t="n"/>
      <c r="S9" s="21" t="n"/>
      <c r="T9" s="21" t="n"/>
      <c r="U9" s="21" t="n"/>
      <c r="V9" s="21" t="n"/>
      <c r="W9" s="21" t="n"/>
      <c r="X9" s="21" t="n"/>
      <c r="Y9" s="24">
        <f>IFERROR((AVERAGE(E9,I9,M9,Q9,U9)*20+AVERAGE(F9,J9,N9,R9,V9)*15+AVERAGE(G9,K9,O9,S9,W9)*10+AVERAGE(H9,L9,P9,T9,X9)*5)/50,"")</f>
        <v/>
      </c>
      <c r="Z9" s="25">
        <f>IFERROR(RANK(Y9,$Y$4:$Y$15,0),"")</f>
        <v/>
      </c>
    </row>
    <row r="10" ht="16" customHeight="1">
      <c r="A10" s="10" t="n">
        <v>7</v>
      </c>
      <c r="B10" s="19" t="inlineStr">
        <is>
          <t>TeamKWU</t>
        </is>
      </c>
      <c r="C10" s="20" t="inlineStr">
        <is>
          <t>Universitas Pasir Pengaraian</t>
        </is>
      </c>
      <c r="D10" s="10" t="inlineStr">
        <is>
          <t>Video</t>
        </is>
      </c>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4">
        <f>IFERROR((AVERAGE(E10,I10,M10,Q10,U10)*20+AVERAGE(F10,J10,N10,R10,V10)*15+AVERAGE(G10,K10,O10,S10,W10)*10+AVERAGE(H10,L10,P10,T10,X10)*5)/50,"")</f>
        <v/>
      </c>
      <c r="Z10" s="25">
        <f>IFERROR(RANK(Y10,$Y$4:$Y$15,0),"")</f>
        <v/>
      </c>
    </row>
    <row r="11" ht="16" customHeight="1">
      <c r="A11" s="10" t="n">
        <v>8</v>
      </c>
      <c r="B11" s="19" t="inlineStr">
        <is>
          <t>bahagia grup</t>
        </is>
      </c>
      <c r="C11" s="20" t="inlineStr">
        <is>
          <t>Universitas Negeri Surabaya</t>
        </is>
      </c>
      <c r="D11" s="10" t="inlineStr">
        <is>
          <t>Poster</t>
        </is>
      </c>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4">
        <f>IFERROR((AVERAGE(E11,I11,M11,Q11,U11)*20+AVERAGE(F11,J11,N11,R11,V11)*15+AVERAGE(G11,K11,O11,S11,W11)*10+AVERAGE(H11,L11,P11,T11,X11)*5)/50,"")</f>
        <v/>
      </c>
      <c r="Z11" s="25">
        <f>IFERROR(RANK(Y11,$Y$4:$Y$15,0),"")</f>
        <v/>
      </c>
    </row>
    <row r="12" ht="16" customHeight="1">
      <c r="A12" s="10" t="n">
        <v>9</v>
      </c>
      <c r="B12" s="19" t="inlineStr">
        <is>
          <t>EcoRizz</t>
        </is>
      </c>
      <c r="C12" s="20" t="inlineStr">
        <is>
          <t>Universitas Mataram</t>
        </is>
      </c>
      <c r="D12" s="10" t="inlineStr">
        <is>
          <t>Poster</t>
        </is>
      </c>
      <c r="E12" s="21" t="n"/>
      <c r="F12" s="21" t="n"/>
      <c r="G12" s="21" t="n"/>
      <c r="H12" s="21" t="n"/>
      <c r="I12" s="21" t="n"/>
      <c r="J12" s="21" t="n"/>
      <c r="K12" s="21" t="n"/>
      <c r="L12" s="21" t="n"/>
      <c r="M12" s="21" t="n"/>
      <c r="N12" s="21" t="n"/>
      <c r="O12" s="21" t="n"/>
      <c r="P12" s="21" t="n"/>
      <c r="Q12" s="21" t="n"/>
      <c r="R12" s="21" t="n"/>
      <c r="S12" s="21" t="n"/>
      <c r="T12" s="21" t="n"/>
      <c r="U12" s="21" t="n"/>
      <c r="V12" s="21" t="n"/>
      <c r="W12" s="21" t="n"/>
      <c r="X12" s="21" t="n"/>
      <c r="Y12" s="24">
        <f>IFERROR((AVERAGE(E12,I12,M12,Q12,U12)*20+AVERAGE(F12,J12,N12,R12,V12)*15+AVERAGE(G12,K12,O12,S12,W12)*10+AVERAGE(H12,L12,P12,T12,X12)*5)/50,"")</f>
        <v/>
      </c>
      <c r="Z12" s="25">
        <f>IFERROR(RANK(Y12,$Y$4:$Y$15,0),"")</f>
        <v/>
      </c>
    </row>
    <row r="13" ht="16" customHeight="1">
      <c r="A13" s="10" t="n">
        <v>10</v>
      </c>
      <c r="B13" s="19" t="inlineStr">
        <is>
          <t>SortNova.team</t>
        </is>
      </c>
      <c r="C13" s="20" t="inlineStr">
        <is>
          <t>Universitas Mataram</t>
        </is>
      </c>
      <c r="D13" s="10" t="inlineStr">
        <is>
          <t>Video</t>
        </is>
      </c>
      <c r="E13" s="2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4">
        <f>IFERROR((AVERAGE(E13,I13,M13,Q13,U13)*20+AVERAGE(F13,J13,N13,R13,V13)*15+AVERAGE(G13,K13,O13,S13,W13)*10+AVERAGE(H13,L13,P13,T13,X13)*5)/50,"")</f>
        <v/>
      </c>
      <c r="Z13" s="25">
        <f>IFERROR(RANK(Y13,$Y$4:$Y$15,0),"")</f>
        <v/>
      </c>
    </row>
    <row r="14" ht="16" customHeight="1">
      <c r="A14" s="10" t="n">
        <v>11</v>
      </c>
      <c r="B14" s="19" t="inlineStr">
        <is>
          <t>tim hore</t>
        </is>
      </c>
      <c r="C14" s="20" t="inlineStr">
        <is>
          <t>Universitas Mataram</t>
        </is>
      </c>
      <c r="D14" s="10" t="inlineStr">
        <is>
          <t>Poster</t>
        </is>
      </c>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4">
        <f>IFERROR((AVERAGE(E14,I14,M14,Q14,U14)*20+AVERAGE(F14,J14,N14,R14,V14)*15+AVERAGE(G14,K14,O14,S14,W14)*10+AVERAGE(H14,L14,P14,T14,X14)*5)/50,"")</f>
        <v/>
      </c>
      <c r="Z14" s="25">
        <f>IFERROR(RANK(Y14,$Y$4:$Y$15,0),"")</f>
        <v/>
      </c>
    </row>
    <row r="15" ht="16" customHeight="1">
      <c r="A15" s="10" t="n">
        <v>12</v>
      </c>
      <c r="B15" s="19" t="inlineStr">
        <is>
          <t>The last trace team</t>
        </is>
      </c>
      <c r="C15" s="20" t="inlineStr">
        <is>
          <t>Universitas Mataram</t>
        </is>
      </c>
      <c r="D15" s="10" t="inlineStr">
        <is>
          <t>Video</t>
        </is>
      </c>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4">
        <f>IFERROR((AVERAGE(E15,I15,M15,Q15,U15)*20+AVERAGE(F15,J15,N15,R15,V15)*15+AVERAGE(G15,K15,O15,S15,W15)*10+AVERAGE(H15,L15,P15,T15,X15)*5)/50,"")</f>
        <v/>
      </c>
      <c r="Z15" s="25">
        <f>IFERROR(RANK(Y15,$Y$4:$Y$15,0),"")</f>
        <v/>
      </c>
    </row>
    <row r="17">
      <c r="B17" s="6" t="inlineStr">
        <is>
          <t>Kuning = isi skor 0–100 di sini (semua tim finalis, tanpa kecuali kategori)    •    Kolom emas = terisi otomatis, jangan diedit    •    Hanya isi baris tim yang lolos sebagai FINALIS</t>
        </is>
      </c>
    </row>
  </sheetData>
  <mergeCells count="13">
    <mergeCell ref="A1:Z1"/>
    <mergeCell ref="Q2:T2"/>
    <mergeCell ref="C2:C3"/>
    <mergeCell ref="B17:Z17"/>
    <mergeCell ref="U2:X2"/>
    <mergeCell ref="Z2:Z3"/>
    <mergeCell ref="B2:B3"/>
    <mergeCell ref="A2:A3"/>
    <mergeCell ref="I2:L2"/>
    <mergeCell ref="D2:D3"/>
    <mergeCell ref="M2:P2"/>
    <mergeCell ref="E2:H2"/>
    <mergeCell ref="Y2:Y3"/>
  </mergeCells>
  <dataValidations count="1">
    <dataValidation sqref="E4 E5 E6 E7 E8 E9 E10 E11 E12 E13 E14 E15 F4 F5 F6 F7 F8 F9 F10 F11 F12 F13 F14 F15 G4 G5 G6 G7 G8 G9 G10 G11 G12 G13 G14 G15 H4 H5 H6 H7 H8 H9 H10 H11 H12 H13 H14 H15 I4 I5 I6 I7 I8 I9 I10 I11 I12 I13 I14 I15 J4 J5 J6 J7 J8 J9 J10 J11 J12 J13 J14 J15 K4 K5 K6 K7 K8 K9 K10 K11 K12 K13 K14 K15 L4 L5 L6 L7 L8 L9 L10 L11 L12 L13 L14 L15 M4 M5 M6 M7 M8 M9 M10 M11 M12 M13 M14 M15 N4 N5 N6 N7 N8 N9 N10 N11 N12 N13 N14 N15 O4 O5 O6 O7 O8 O9 O10 O11 O12 O13 O14 O15 P4 P5 P6 P7 P8 P9 P10 P11 P12 P13 P14 P15 Q4 Q5 Q6 Q7 Q8 Q9 Q10 Q11 Q12 Q13 Q14 Q15 R4 R5 R6 R7 R8 R9 R10 R11 R12 R13 R14 R15 S4 S5 S6 S7 S8 S9 S10 S11 S12 S13 S14 S15 T4 T5 T6 T7 T8 T9 T10 T11 T12 T13 T14 T15 U4 U5 U6 U7 U8 U9 U10 U11 U12 U13 U14 U15 V4 V5 V6 V7 V8 V9 V10 V11 V12 V13 V14 V15 W4 W5 W6 W7 W8 W9 W10 W11 W12 W13 W14 W15 X4 X5 X6 X7 X8 X9 X10 X11 X12 X13 X14 X15" showDropDown="0" showInputMessage="0" showErrorMessage="1" allowBlank="1" errorTitle="Skor tidak valid" error="Masukkan angka 0–100." type="decimal" operator="between">
      <formula1>0</formula1>
      <formula2>100</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F19"/>
  <sheetViews>
    <sheetView showGridLines="0" workbookViewId="0">
      <pane ySplit="5" topLeftCell="A6" activePane="bottomLeft" state="frozen"/>
      <selection pane="bottomLeft" activeCell="A1" sqref="A1"/>
    </sheetView>
  </sheetViews>
  <sheetFormatPr baseColWidth="8" defaultRowHeight="15"/>
  <cols>
    <col width="6" customWidth="1" min="1" max="1"/>
    <col width="26" customWidth="1" min="2" max="2"/>
    <col width="26" customWidth="1" min="3" max="3"/>
    <col width="14" customWidth="1" min="4" max="4"/>
    <col width="14" customWidth="1" min="5" max="5"/>
    <col width="16" customWidth="1" min="6" max="6"/>
  </cols>
  <sheetData>
    <row r="2">
      <c r="B2" s="1" t="inlineStr">
        <is>
          <t>Rekap &amp; Peringkat Sementara — Tahap Pra-Event</t>
        </is>
      </c>
    </row>
    <row r="3">
      <c r="B3" s="6" t="inlineStr">
        <is>
          <t>Terhubung otomatis ke sheet “Input Nilai (Pra-Event)” — 10 tim skor tertinggi diusulkan sebagai finalis, sesuai Bab VII Juknis.</t>
        </is>
      </c>
    </row>
    <row r="5" ht="26" customHeight="1">
      <c r="A5" s="8" t="inlineStr">
        <is>
          <t>Peringkat</t>
        </is>
      </c>
      <c r="B5" s="8" t="inlineStr">
        <is>
          <t>Nama Tim</t>
        </is>
      </c>
      <c r="C5" s="8" t="inlineStr">
        <is>
          <t>Perguruan Tinggi</t>
        </is>
      </c>
      <c r="D5" s="8" t="inlineStr">
        <is>
          <t>Kategori</t>
        </is>
      </c>
      <c r="E5" s="8" t="inlineStr">
        <is>
          <t>Skor Akhir
Pra-Event</t>
        </is>
      </c>
      <c r="F5" s="8" t="inlineStr">
        <is>
          <t>Status</t>
        </is>
      </c>
    </row>
    <row r="6" ht="16" customHeight="1">
      <c r="A6" s="10">
        <f>'Input Nilai (Pra-Event)'!AG4</f>
        <v/>
      </c>
      <c r="B6" s="20">
        <f>'Input Nilai (Pra-Event)'!B4</f>
        <v/>
      </c>
      <c r="C6" s="20">
        <f>'Input Nilai (Pra-Event)'!C4</f>
        <v/>
      </c>
      <c r="D6" s="10">
        <f>'Input Nilai (Pra-Event)'!D4</f>
        <v/>
      </c>
      <c r="E6" s="26">
        <f>'Input Nilai (Pra-Event)'!AF4</f>
        <v/>
      </c>
      <c r="F6" s="10">
        <f>IFERROR(IF(A6&lt;=10,"Diusulkan finalis","-"),"Belum dinilai")</f>
        <v/>
      </c>
    </row>
    <row r="7" ht="16" customHeight="1">
      <c r="A7" s="10">
        <f>'Input Nilai (Pra-Event)'!AG5</f>
        <v/>
      </c>
      <c r="B7" s="20">
        <f>'Input Nilai (Pra-Event)'!B5</f>
        <v/>
      </c>
      <c r="C7" s="20">
        <f>'Input Nilai (Pra-Event)'!C5</f>
        <v/>
      </c>
      <c r="D7" s="10">
        <f>'Input Nilai (Pra-Event)'!D5</f>
        <v/>
      </c>
      <c r="E7" s="26">
        <f>'Input Nilai (Pra-Event)'!AF5</f>
        <v/>
      </c>
      <c r="F7" s="10">
        <f>IFERROR(IF(A7&lt;=10,"Diusulkan finalis","-"),"Belum dinilai")</f>
        <v/>
      </c>
    </row>
    <row r="8" ht="16" customHeight="1">
      <c r="A8" s="10">
        <f>'Input Nilai (Pra-Event)'!AG6</f>
        <v/>
      </c>
      <c r="B8" s="20">
        <f>'Input Nilai (Pra-Event)'!B6</f>
        <v/>
      </c>
      <c r="C8" s="20">
        <f>'Input Nilai (Pra-Event)'!C6</f>
        <v/>
      </c>
      <c r="D8" s="10">
        <f>'Input Nilai (Pra-Event)'!D6</f>
        <v/>
      </c>
      <c r="E8" s="26">
        <f>'Input Nilai (Pra-Event)'!AF6</f>
        <v/>
      </c>
      <c r="F8" s="10">
        <f>IFERROR(IF(A8&lt;=10,"Diusulkan finalis","-"),"Belum dinilai")</f>
        <v/>
      </c>
    </row>
    <row r="9" ht="16" customHeight="1">
      <c r="A9" s="10">
        <f>'Input Nilai (Pra-Event)'!AG7</f>
        <v/>
      </c>
      <c r="B9" s="20">
        <f>'Input Nilai (Pra-Event)'!B7</f>
        <v/>
      </c>
      <c r="C9" s="20">
        <f>'Input Nilai (Pra-Event)'!C7</f>
        <v/>
      </c>
      <c r="D9" s="10">
        <f>'Input Nilai (Pra-Event)'!D7</f>
        <v/>
      </c>
      <c r="E9" s="26">
        <f>'Input Nilai (Pra-Event)'!AF7</f>
        <v/>
      </c>
      <c r="F9" s="10">
        <f>IFERROR(IF(A9&lt;=10,"Diusulkan finalis","-"),"Belum dinilai")</f>
        <v/>
      </c>
    </row>
    <row r="10" ht="16" customHeight="1">
      <c r="A10" s="10">
        <f>'Input Nilai (Pra-Event)'!AG8</f>
        <v/>
      </c>
      <c r="B10" s="20">
        <f>'Input Nilai (Pra-Event)'!B8</f>
        <v/>
      </c>
      <c r="C10" s="20">
        <f>'Input Nilai (Pra-Event)'!C8</f>
        <v/>
      </c>
      <c r="D10" s="10">
        <f>'Input Nilai (Pra-Event)'!D8</f>
        <v/>
      </c>
      <c r="E10" s="26">
        <f>'Input Nilai (Pra-Event)'!AF8</f>
        <v/>
      </c>
      <c r="F10" s="10">
        <f>IFERROR(IF(A10&lt;=10,"Diusulkan finalis","-"),"Belum dinilai")</f>
        <v/>
      </c>
    </row>
    <row r="11" ht="16" customHeight="1">
      <c r="A11" s="10">
        <f>'Input Nilai (Pra-Event)'!AG9</f>
        <v/>
      </c>
      <c r="B11" s="20">
        <f>'Input Nilai (Pra-Event)'!B9</f>
        <v/>
      </c>
      <c r="C11" s="20">
        <f>'Input Nilai (Pra-Event)'!C9</f>
        <v/>
      </c>
      <c r="D11" s="10">
        <f>'Input Nilai (Pra-Event)'!D9</f>
        <v/>
      </c>
      <c r="E11" s="26">
        <f>'Input Nilai (Pra-Event)'!AF9</f>
        <v/>
      </c>
      <c r="F11" s="10">
        <f>IFERROR(IF(A11&lt;=10,"Diusulkan finalis","-"),"Belum dinilai")</f>
        <v/>
      </c>
    </row>
    <row r="12" ht="16" customHeight="1">
      <c r="A12" s="10">
        <f>'Input Nilai (Pra-Event)'!AG10</f>
        <v/>
      </c>
      <c r="B12" s="20">
        <f>'Input Nilai (Pra-Event)'!B10</f>
        <v/>
      </c>
      <c r="C12" s="20">
        <f>'Input Nilai (Pra-Event)'!C10</f>
        <v/>
      </c>
      <c r="D12" s="10">
        <f>'Input Nilai (Pra-Event)'!D10</f>
        <v/>
      </c>
      <c r="E12" s="26">
        <f>'Input Nilai (Pra-Event)'!AF10</f>
        <v/>
      </c>
      <c r="F12" s="10">
        <f>IFERROR(IF(A12&lt;=10,"Diusulkan finalis","-"),"Belum dinilai")</f>
        <v/>
      </c>
    </row>
    <row r="13" ht="16" customHeight="1">
      <c r="A13" s="10">
        <f>'Input Nilai (Pra-Event)'!AG11</f>
        <v/>
      </c>
      <c r="B13" s="20">
        <f>'Input Nilai (Pra-Event)'!B11</f>
        <v/>
      </c>
      <c r="C13" s="20">
        <f>'Input Nilai (Pra-Event)'!C11</f>
        <v/>
      </c>
      <c r="D13" s="10">
        <f>'Input Nilai (Pra-Event)'!D11</f>
        <v/>
      </c>
      <c r="E13" s="26">
        <f>'Input Nilai (Pra-Event)'!AF11</f>
        <v/>
      </c>
      <c r="F13" s="10">
        <f>IFERROR(IF(A13&lt;=10,"Diusulkan finalis","-"),"Belum dinilai")</f>
        <v/>
      </c>
    </row>
    <row r="14" ht="16" customHeight="1">
      <c r="A14" s="10">
        <f>'Input Nilai (Pra-Event)'!AG12</f>
        <v/>
      </c>
      <c r="B14" s="20">
        <f>'Input Nilai (Pra-Event)'!B12</f>
        <v/>
      </c>
      <c r="C14" s="20">
        <f>'Input Nilai (Pra-Event)'!C12</f>
        <v/>
      </c>
      <c r="D14" s="10">
        <f>'Input Nilai (Pra-Event)'!D12</f>
        <v/>
      </c>
      <c r="E14" s="26">
        <f>'Input Nilai (Pra-Event)'!AF12</f>
        <v/>
      </c>
      <c r="F14" s="10">
        <f>IFERROR(IF(A14&lt;=10,"Diusulkan finalis","-"),"Belum dinilai")</f>
        <v/>
      </c>
    </row>
    <row r="15" ht="16" customHeight="1">
      <c r="A15" s="10">
        <f>'Input Nilai (Pra-Event)'!AG13</f>
        <v/>
      </c>
      <c r="B15" s="20">
        <f>'Input Nilai (Pra-Event)'!B13</f>
        <v/>
      </c>
      <c r="C15" s="20">
        <f>'Input Nilai (Pra-Event)'!C13</f>
        <v/>
      </c>
      <c r="D15" s="10">
        <f>'Input Nilai (Pra-Event)'!D13</f>
        <v/>
      </c>
      <c r="E15" s="26">
        <f>'Input Nilai (Pra-Event)'!AF13</f>
        <v/>
      </c>
      <c r="F15" s="10">
        <f>IFERROR(IF(A15&lt;=10,"Diusulkan finalis","-"),"Belum dinilai")</f>
        <v/>
      </c>
    </row>
    <row r="16" ht="16" customHeight="1">
      <c r="A16" s="10">
        <f>'Input Nilai (Pra-Event)'!AG14</f>
        <v/>
      </c>
      <c r="B16" s="20">
        <f>'Input Nilai (Pra-Event)'!B14</f>
        <v/>
      </c>
      <c r="C16" s="20">
        <f>'Input Nilai (Pra-Event)'!C14</f>
        <v/>
      </c>
      <c r="D16" s="10">
        <f>'Input Nilai (Pra-Event)'!D14</f>
        <v/>
      </c>
      <c r="E16" s="26">
        <f>'Input Nilai (Pra-Event)'!AF14</f>
        <v/>
      </c>
      <c r="F16" s="10">
        <f>IFERROR(IF(A16&lt;=10,"Diusulkan finalis","-"),"Belum dinilai")</f>
        <v/>
      </c>
    </row>
    <row r="17" ht="16" customHeight="1">
      <c r="A17" s="10">
        <f>'Input Nilai (Pra-Event)'!AG15</f>
        <v/>
      </c>
      <c r="B17" s="20">
        <f>'Input Nilai (Pra-Event)'!B15</f>
        <v/>
      </c>
      <c r="C17" s="20">
        <f>'Input Nilai (Pra-Event)'!C15</f>
        <v/>
      </c>
      <c r="D17" s="10">
        <f>'Input Nilai (Pra-Event)'!D15</f>
        <v/>
      </c>
      <c r="E17" s="26">
        <f>'Input Nilai (Pra-Event)'!AF15</f>
        <v/>
      </c>
      <c r="F17" s="10">
        <f>IFERROR(IF(A17&lt;=10,"Diusulkan finalis","-"),"Belum dinilai")</f>
        <v/>
      </c>
    </row>
    <row r="19">
      <c r="B19" s="6" t="inlineStr">
        <is>
          <t>Baris tidak terurut otomatis — gunakan Data → Sort range berdasarkan “Skor Akhir Pra-Event” (menurun), atau baca langsung kolom Peringkat.</t>
        </is>
      </c>
    </row>
  </sheetData>
  <mergeCells count="2">
    <mergeCell ref="B3:F3"/>
    <mergeCell ref="B19:F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G19"/>
  <sheetViews>
    <sheetView showGridLines="0" workbookViewId="0">
      <pane ySplit="5" topLeftCell="A6" activePane="bottomLeft" state="frozen"/>
      <selection pane="bottomLeft" activeCell="A1" sqref="A1"/>
    </sheetView>
  </sheetViews>
  <sheetFormatPr baseColWidth="8" defaultRowHeight="15"/>
  <cols>
    <col width="6" customWidth="1" min="1" max="1"/>
    <col width="26" customWidth="1" min="2" max="2"/>
    <col width="26" customWidth="1" min="3" max="3"/>
    <col width="16" customWidth="1" min="4" max="4"/>
    <col width="16" customWidth="1" min="5" max="5"/>
    <col width="14" customWidth="1" min="6" max="6"/>
    <col width="16" customWidth="1" min="7" max="7"/>
  </cols>
  <sheetData>
    <row r="2">
      <c r="B2" s="1" t="inlineStr">
        <is>
          <t>Rekap &amp; Peringkat Akhir — Setelah Presentasi Finalis</t>
        </is>
      </c>
    </row>
    <row r="3">
      <c r="B3" s="6" t="inlineStr">
        <is>
          <t>Total Akhir = Skor Akhir Pra-Event × 50% + Skor Presentasi × 50% (menyetarakan bobot resmi 30%+20%=50% dan 50%). Isi hanya berlaku untuk tim yang sudah dinilai presentasinya.</t>
        </is>
      </c>
    </row>
    <row r="5" ht="18" customHeight="1">
      <c r="A5" s="8" t="inlineStr">
        <is>
          <t>Peringkat</t>
        </is>
      </c>
      <c r="B5" s="8" t="inlineStr">
        <is>
          <t>Nama Tim</t>
        </is>
      </c>
      <c r="C5" s="8" t="inlineStr">
        <is>
          <t>Perguruan Tinggi</t>
        </is>
      </c>
      <c r="D5" s="8" t="inlineStr">
        <is>
          <t>Skor Pra-Event</t>
        </is>
      </c>
      <c r="E5" s="8" t="inlineStr">
        <is>
          <t>Skor Presentasi</t>
        </is>
      </c>
      <c r="F5" s="8" t="inlineStr">
        <is>
          <t>Total Akhir</t>
        </is>
      </c>
      <c r="G5" s="8" t="inlineStr">
        <is>
          <t>Status</t>
        </is>
      </c>
    </row>
    <row r="6" ht="16" customHeight="1">
      <c r="A6" s="10">
        <f>IFERROR(RANK(F6,$F$6:$F$17,0),"")</f>
        <v/>
      </c>
      <c r="B6" s="20">
        <f>'Input Nilai (Pra-Event)'!B4</f>
        <v/>
      </c>
      <c r="C6" s="20">
        <f>'Input Nilai (Pra-Event)'!C4</f>
        <v/>
      </c>
      <c r="D6" s="26">
        <f>IFERROR('Input Nilai (Pra-Event)'!AF4+0,"")</f>
        <v/>
      </c>
      <c r="E6" s="26">
        <f>IFERROR('Input Nilai (Presentasi)'!Y4+0,"")</f>
        <v/>
      </c>
      <c r="F6" s="27">
        <f>IF(AND(D6&lt;&gt;"",E6&lt;&gt;""),D6*0.5+E6*0.5,"")</f>
        <v/>
      </c>
      <c r="G6" s="10">
        <f>IF(F6="","Menunggu presentasi",IF(A6&lt;=3,"JUARA I-III (cek manual)","Finalis dinilai"))</f>
        <v/>
      </c>
    </row>
    <row r="7" ht="16" customHeight="1">
      <c r="A7" s="10">
        <f>IFERROR(RANK(F7,$F$6:$F$17,0),"")</f>
        <v/>
      </c>
      <c r="B7" s="20">
        <f>'Input Nilai (Pra-Event)'!B5</f>
        <v/>
      </c>
      <c r="C7" s="20">
        <f>'Input Nilai (Pra-Event)'!C5</f>
        <v/>
      </c>
      <c r="D7" s="26">
        <f>IFERROR('Input Nilai (Pra-Event)'!AF5+0,"")</f>
        <v/>
      </c>
      <c r="E7" s="26">
        <f>IFERROR('Input Nilai (Presentasi)'!Y5+0,"")</f>
        <v/>
      </c>
      <c r="F7" s="27">
        <f>IF(AND(D7&lt;&gt;"",E7&lt;&gt;""),D7*0.5+E7*0.5,"")</f>
        <v/>
      </c>
      <c r="G7" s="10">
        <f>IF(F7="","Menunggu presentasi",IF(A7&lt;=3,"JUARA I-III (cek manual)","Finalis dinilai"))</f>
        <v/>
      </c>
    </row>
    <row r="8" ht="16" customHeight="1">
      <c r="A8" s="10">
        <f>IFERROR(RANK(F8,$F$6:$F$17,0),"")</f>
        <v/>
      </c>
      <c r="B8" s="20">
        <f>'Input Nilai (Pra-Event)'!B6</f>
        <v/>
      </c>
      <c r="C8" s="20">
        <f>'Input Nilai (Pra-Event)'!C6</f>
        <v/>
      </c>
      <c r="D8" s="26">
        <f>IFERROR('Input Nilai (Pra-Event)'!AF6+0,"")</f>
        <v/>
      </c>
      <c r="E8" s="26">
        <f>IFERROR('Input Nilai (Presentasi)'!Y6+0,"")</f>
        <v/>
      </c>
      <c r="F8" s="27">
        <f>IF(AND(D8&lt;&gt;"",E8&lt;&gt;""),D8*0.5+E8*0.5,"")</f>
        <v/>
      </c>
      <c r="G8" s="10">
        <f>IF(F8="","Menunggu presentasi",IF(A8&lt;=3,"JUARA I-III (cek manual)","Finalis dinilai"))</f>
        <v/>
      </c>
    </row>
    <row r="9" ht="16" customHeight="1">
      <c r="A9" s="10">
        <f>IFERROR(RANK(F9,$F$6:$F$17,0),"")</f>
        <v/>
      </c>
      <c r="B9" s="20">
        <f>'Input Nilai (Pra-Event)'!B7</f>
        <v/>
      </c>
      <c r="C9" s="20">
        <f>'Input Nilai (Pra-Event)'!C7</f>
        <v/>
      </c>
      <c r="D9" s="26">
        <f>IFERROR('Input Nilai (Pra-Event)'!AF7+0,"")</f>
        <v/>
      </c>
      <c r="E9" s="26">
        <f>IFERROR('Input Nilai (Presentasi)'!Y7+0,"")</f>
        <v/>
      </c>
      <c r="F9" s="27">
        <f>IF(AND(D9&lt;&gt;"",E9&lt;&gt;""),D9*0.5+E9*0.5,"")</f>
        <v/>
      </c>
      <c r="G9" s="10">
        <f>IF(F9="","Menunggu presentasi",IF(A9&lt;=3,"JUARA I-III (cek manual)","Finalis dinilai"))</f>
        <v/>
      </c>
    </row>
    <row r="10" ht="16" customHeight="1">
      <c r="A10" s="10">
        <f>IFERROR(RANK(F10,$F$6:$F$17,0),"")</f>
        <v/>
      </c>
      <c r="B10" s="20">
        <f>'Input Nilai (Pra-Event)'!B8</f>
        <v/>
      </c>
      <c r="C10" s="20">
        <f>'Input Nilai (Pra-Event)'!C8</f>
        <v/>
      </c>
      <c r="D10" s="26">
        <f>IFERROR('Input Nilai (Pra-Event)'!AF8+0,"")</f>
        <v/>
      </c>
      <c r="E10" s="26">
        <f>IFERROR('Input Nilai (Presentasi)'!Y8+0,"")</f>
        <v/>
      </c>
      <c r="F10" s="27">
        <f>IF(AND(D10&lt;&gt;"",E10&lt;&gt;""),D10*0.5+E10*0.5,"")</f>
        <v/>
      </c>
      <c r="G10" s="10">
        <f>IF(F10="","Menunggu presentasi",IF(A10&lt;=3,"JUARA I-III (cek manual)","Finalis dinilai"))</f>
        <v/>
      </c>
    </row>
    <row r="11" ht="16" customHeight="1">
      <c r="A11" s="10">
        <f>IFERROR(RANK(F11,$F$6:$F$17,0),"")</f>
        <v/>
      </c>
      <c r="B11" s="20">
        <f>'Input Nilai (Pra-Event)'!B9</f>
        <v/>
      </c>
      <c r="C11" s="20">
        <f>'Input Nilai (Pra-Event)'!C9</f>
        <v/>
      </c>
      <c r="D11" s="26">
        <f>IFERROR('Input Nilai (Pra-Event)'!AF9+0,"")</f>
        <v/>
      </c>
      <c r="E11" s="26">
        <f>IFERROR('Input Nilai (Presentasi)'!Y9+0,"")</f>
        <v/>
      </c>
      <c r="F11" s="27">
        <f>IF(AND(D11&lt;&gt;"",E11&lt;&gt;""),D11*0.5+E11*0.5,"")</f>
        <v/>
      </c>
      <c r="G11" s="10">
        <f>IF(F11="","Menunggu presentasi",IF(A11&lt;=3,"JUARA I-III (cek manual)","Finalis dinilai"))</f>
        <v/>
      </c>
    </row>
    <row r="12" ht="16" customHeight="1">
      <c r="A12" s="10">
        <f>IFERROR(RANK(F12,$F$6:$F$17,0),"")</f>
        <v/>
      </c>
      <c r="B12" s="20">
        <f>'Input Nilai (Pra-Event)'!B10</f>
        <v/>
      </c>
      <c r="C12" s="20">
        <f>'Input Nilai (Pra-Event)'!C10</f>
        <v/>
      </c>
      <c r="D12" s="26">
        <f>IFERROR('Input Nilai (Pra-Event)'!AF10+0,"")</f>
        <v/>
      </c>
      <c r="E12" s="26">
        <f>IFERROR('Input Nilai (Presentasi)'!Y10+0,"")</f>
        <v/>
      </c>
      <c r="F12" s="27">
        <f>IF(AND(D12&lt;&gt;"",E12&lt;&gt;""),D12*0.5+E12*0.5,"")</f>
        <v/>
      </c>
      <c r="G12" s="10">
        <f>IF(F12="","Menunggu presentasi",IF(A12&lt;=3,"JUARA I-III (cek manual)","Finalis dinilai"))</f>
        <v/>
      </c>
    </row>
    <row r="13" ht="16" customHeight="1">
      <c r="A13" s="10">
        <f>IFERROR(RANK(F13,$F$6:$F$17,0),"")</f>
        <v/>
      </c>
      <c r="B13" s="20">
        <f>'Input Nilai (Pra-Event)'!B11</f>
        <v/>
      </c>
      <c r="C13" s="20">
        <f>'Input Nilai (Pra-Event)'!C11</f>
        <v/>
      </c>
      <c r="D13" s="26">
        <f>IFERROR('Input Nilai (Pra-Event)'!AF11+0,"")</f>
        <v/>
      </c>
      <c r="E13" s="26">
        <f>IFERROR('Input Nilai (Presentasi)'!Y11+0,"")</f>
        <v/>
      </c>
      <c r="F13" s="27">
        <f>IF(AND(D13&lt;&gt;"",E13&lt;&gt;""),D13*0.5+E13*0.5,"")</f>
        <v/>
      </c>
      <c r="G13" s="10">
        <f>IF(F13="","Menunggu presentasi",IF(A13&lt;=3,"JUARA I-III (cek manual)","Finalis dinilai"))</f>
        <v/>
      </c>
    </row>
    <row r="14" ht="16" customHeight="1">
      <c r="A14" s="10">
        <f>IFERROR(RANK(F14,$F$6:$F$17,0),"")</f>
        <v/>
      </c>
      <c r="B14" s="20">
        <f>'Input Nilai (Pra-Event)'!B12</f>
        <v/>
      </c>
      <c r="C14" s="20">
        <f>'Input Nilai (Pra-Event)'!C12</f>
        <v/>
      </c>
      <c r="D14" s="26">
        <f>IFERROR('Input Nilai (Pra-Event)'!AF12+0,"")</f>
        <v/>
      </c>
      <c r="E14" s="26">
        <f>IFERROR('Input Nilai (Presentasi)'!Y12+0,"")</f>
        <v/>
      </c>
      <c r="F14" s="27">
        <f>IF(AND(D14&lt;&gt;"",E14&lt;&gt;""),D14*0.5+E14*0.5,"")</f>
        <v/>
      </c>
      <c r="G14" s="10">
        <f>IF(F14="","Menunggu presentasi",IF(A14&lt;=3,"JUARA I-III (cek manual)","Finalis dinilai"))</f>
        <v/>
      </c>
    </row>
    <row r="15" ht="16" customHeight="1">
      <c r="A15" s="10">
        <f>IFERROR(RANK(F15,$F$6:$F$17,0),"")</f>
        <v/>
      </c>
      <c r="B15" s="20">
        <f>'Input Nilai (Pra-Event)'!B13</f>
        <v/>
      </c>
      <c r="C15" s="20">
        <f>'Input Nilai (Pra-Event)'!C13</f>
        <v/>
      </c>
      <c r="D15" s="26">
        <f>IFERROR('Input Nilai (Pra-Event)'!AF13+0,"")</f>
        <v/>
      </c>
      <c r="E15" s="26">
        <f>IFERROR('Input Nilai (Presentasi)'!Y13+0,"")</f>
        <v/>
      </c>
      <c r="F15" s="27">
        <f>IF(AND(D15&lt;&gt;"",E15&lt;&gt;""),D15*0.5+E15*0.5,"")</f>
        <v/>
      </c>
      <c r="G15" s="10">
        <f>IF(F15="","Menunggu presentasi",IF(A15&lt;=3,"JUARA I-III (cek manual)","Finalis dinilai"))</f>
        <v/>
      </c>
    </row>
    <row r="16" ht="16" customHeight="1">
      <c r="A16" s="10">
        <f>IFERROR(RANK(F16,$F$6:$F$17,0),"")</f>
        <v/>
      </c>
      <c r="B16" s="20">
        <f>'Input Nilai (Pra-Event)'!B14</f>
        <v/>
      </c>
      <c r="C16" s="20">
        <f>'Input Nilai (Pra-Event)'!C14</f>
        <v/>
      </c>
      <c r="D16" s="26">
        <f>IFERROR('Input Nilai (Pra-Event)'!AF14+0,"")</f>
        <v/>
      </c>
      <c r="E16" s="26">
        <f>IFERROR('Input Nilai (Presentasi)'!Y14+0,"")</f>
        <v/>
      </c>
      <c r="F16" s="27">
        <f>IF(AND(D16&lt;&gt;"",E16&lt;&gt;""),D16*0.5+E16*0.5,"")</f>
        <v/>
      </c>
      <c r="G16" s="10">
        <f>IF(F16="","Menunggu presentasi",IF(A16&lt;=3,"JUARA I-III (cek manual)","Finalis dinilai"))</f>
        <v/>
      </c>
    </row>
    <row r="17" ht="16" customHeight="1">
      <c r="A17" s="10">
        <f>IFERROR(RANK(F17,$F$6:$F$17,0),"")</f>
        <v/>
      </c>
      <c r="B17" s="20">
        <f>'Input Nilai (Pra-Event)'!B15</f>
        <v/>
      </c>
      <c r="C17" s="20">
        <f>'Input Nilai (Pra-Event)'!C15</f>
        <v/>
      </c>
      <c r="D17" s="26">
        <f>IFERROR('Input Nilai (Pra-Event)'!AF15+0,"")</f>
        <v/>
      </c>
      <c r="E17" s="26">
        <f>IFERROR('Input Nilai (Presentasi)'!Y15+0,"")</f>
        <v/>
      </c>
      <c r="F17" s="27">
        <f>IF(AND(D17&lt;&gt;"",E17&lt;&gt;""),D17*0.5+E17*0.5,"")</f>
        <v/>
      </c>
      <c r="G17" s="10">
        <f>IF(F17="","Menunggu presentasi",IF(A17&lt;=3,"JUARA I-III (cek manual)","Finalis dinilai"))</f>
        <v/>
      </c>
    </row>
    <row r="19">
      <c r="B19" s="6" t="inlineStr">
        <is>
          <t>Kolom “Status” hanya penanda kasar (3 skor tertinggi) — keputusan juara I/II/III/Harapan I-III serta Best Video/Best Poster/Best Presenter TETAP melalui rapat pleno dewan juri, bukan otomatis dari angka semata, sesuai Bab VII.C Juknis (“keputusan dewan juri bersifat final”).</t>
        </is>
      </c>
    </row>
  </sheetData>
  <mergeCells count="2">
    <mergeCell ref="B3:G3"/>
    <mergeCell ref="B19:G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2026-08-19T13:17:07Z</dcterms:created>
  <dcterms:modified xsi:type="dcterms:W3CDTF">2026-08-19T13:17:07Z</dcterms:modified>
</cp:coreProperties>
</file>